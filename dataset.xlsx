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Sales data" sheetId="1" r:id="rId5"/>
    <sheet state="visible" name="Region" sheetId="2" r:id="rId6"/>
    <sheet state="visible" name="Month" sheetId="3" r:id="rId7"/>
    <sheet state="visible" name="Item Type" sheetId="4" r:id="rId8"/>
    <sheet state="visible" name="Dashboard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<sst xmlns="http://schemas.openxmlformats.org/spreadsheetml/2006/main" count="1403" uniqueCount="798">
  <si>
    <t>Region</t>
  </si>
  <si>
    <t>Country</t>
  </si>
  <si>
    <t>Item Type</t>
  </si>
  <si>
    <t>Sales Channel</t>
  </si>
  <si>
    <t>Order Priority</t>
  </si>
  <si>
    <t>Order Date</t>
  </si>
  <si>
    <t>Month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</si>
  <si>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</si>
  <si>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</si>
  <si>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</si>
  <si>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</si>
  <si>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</si>
  <si>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</si>
  <si>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</si>
  <si>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</si>
  <si>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</si>
  <si>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</si>
  <si>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</si>
  <si>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</si>
  <si>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</si>
  <si>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</si>
  <si>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669165933</t>
  </si>
  <si>
    <t>6/27/2010</t>
  </si>
  <si>
    <t>9925</t>
  </si>
  <si>
    <t>255.28</t>
  </si>
  <si>
    <t>159.42</t>
  </si>
  <si>
    <t>1582243.50</t>
  </si>
  <si>
    <t>951410.50</t>
  </si>
  <si>
    <t>Central America and the Caribbean</t>
  </si>
  <si>
    <t>Grenada</t>
  </si>
  <si>
    <t>Cereal</t>
  </si>
  <si>
    <t>Online</t>
  </si>
  <si>
    <t>C</t>
  </si>
  <si>
    <t>8/22/2012</t>
  </si>
  <si>
    <t>963881480</t>
  </si>
  <si>
    <t>9/15/2012</t>
  </si>
  <si>
    <t>2804</t>
  </si>
  <si>
    <t>205.70</t>
  </si>
  <si>
    <t>117.11</t>
  </si>
  <si>
    <t>328376.44</t>
  </si>
  <si>
    <t>248406.36</t>
  </si>
  <si>
    <t>Europe</t>
  </si>
  <si>
    <t>Russia</t>
  </si>
  <si>
    <t>Office Supplies</t>
  </si>
  <si>
    <t>L</t>
  </si>
  <si>
    <t>5/2/2014</t>
  </si>
  <si>
    <t>341417157</t>
  </si>
  <si>
    <t>5/8/2014</t>
  </si>
  <si>
    <t>1779</t>
  </si>
  <si>
    <t>651.21</t>
  </si>
  <si>
    <t>524.96</t>
  </si>
  <si>
    <t>933903.84</t>
  </si>
  <si>
    <t>224598.75</t>
  </si>
  <si>
    <t>Sub-Saharan Africa</t>
  </si>
  <si>
    <t>Sao Tome and Principe</t>
  </si>
  <si>
    <t>Fruits</t>
  </si>
  <si>
    <t>6/20/2014</t>
  </si>
  <si>
    <t>514321792</t>
  </si>
  <si>
    <t>7/5/2014</t>
  </si>
  <si>
    <t>8102</t>
  </si>
  <si>
    <t>9.33</t>
  </si>
  <si>
    <t>6.92</t>
  </si>
  <si>
    <t>56065.84</t>
  </si>
  <si>
    <t>19525.82</t>
  </si>
  <si>
    <t>Rwanda</t>
  </si>
  <si>
    <t>2/1/2013</t>
  </si>
  <si>
    <t>115456712</t>
  </si>
  <si>
    <t>2/6/2013</t>
  </si>
  <si>
    <t>5062</t>
  </si>
  <si>
    <t>2657347.52</t>
  </si>
  <si>
    <t>639077.50</t>
  </si>
  <si>
    <t>Solomon Islands</t>
  </si>
  <si>
    <t>2/4/2015</t>
  </si>
  <si>
    <t>547995746</t>
  </si>
  <si>
    <t>2/21/2015</t>
  </si>
  <si>
    <t>2974</t>
  </si>
  <si>
    <t>474115.08</t>
  </si>
  <si>
    <t>285087.64</t>
  </si>
  <si>
    <t>Angola</t>
  </si>
  <si>
    <t>Household</t>
  </si>
  <si>
    <t>M</t>
  </si>
  <si>
    <t>4/23/2011</t>
  </si>
  <si>
    <t>135425221</t>
  </si>
  <si>
    <t>4/27/2011</t>
  </si>
  <si>
    <t>4187</t>
  </si>
  <si>
    <t>668.27</t>
  </si>
  <si>
    <t>502.54</t>
  </si>
  <si>
    <t>2104134.98</t>
  </si>
  <si>
    <t>693911.51</t>
  </si>
  <si>
    <t>Burkina Faso</t>
  </si>
  <si>
    <t>Vegetables</t>
  </si>
  <si>
    <t>7/17/2012</t>
  </si>
  <si>
    <t>871543967</t>
  </si>
  <si>
    <t>7/27/2012</t>
  </si>
  <si>
    <t>8082</t>
  </si>
  <si>
    <t>154.06</t>
  </si>
  <si>
    <t>90.93</t>
  </si>
  <si>
    <t>734896.26</t>
  </si>
  <si>
    <t>510216.66</t>
  </si>
  <si>
    <t>Republic of the Congo</t>
  </si>
  <si>
    <t>Personal Care</t>
  </si>
  <si>
    <t>7/14/2015</t>
  </si>
  <si>
    <t>770463311</t>
  </si>
  <si>
    <t>8/25/2015</t>
  </si>
  <si>
    <t>6070</t>
  </si>
  <si>
    <t>81.73</t>
  </si>
  <si>
    <t>56.67</t>
  </si>
  <si>
    <t>343986.90</t>
  </si>
  <si>
    <t>152114.20</t>
  </si>
  <si>
    <t>Senegal</t>
  </si>
  <si>
    <t>4/18/2014</t>
  </si>
  <si>
    <t>616607081</t>
  </si>
  <si>
    <t>5/30/2014</t>
  </si>
  <si>
    <t>6593</t>
  </si>
  <si>
    <t>772106.23</t>
  </si>
  <si>
    <t>584073.87</t>
  </si>
  <si>
    <t>Asia</t>
  </si>
  <si>
    <t>Kyrgyzstan</t>
  </si>
  <si>
    <t>6/24/2011</t>
  </si>
  <si>
    <t>814711606</t>
  </si>
  <si>
    <t>7/12/2011</t>
  </si>
  <si>
    <t>124</t>
  </si>
  <si>
    <t>11275.32</t>
  </si>
  <si>
    <t>7828.12</t>
  </si>
  <si>
    <t>Cape Verde</t>
  </si>
  <si>
    <t>Clothes</t>
  </si>
  <si>
    <t>8/2/2014</t>
  </si>
  <si>
    <t>939825713</t>
  </si>
  <si>
    <t>8/19/2014</t>
  </si>
  <si>
    <t>4168</t>
  </si>
  <si>
    <t>109.28</t>
  </si>
  <si>
    <t>35.84</t>
  </si>
  <si>
    <t>149381.12</t>
  </si>
  <si>
    <t>306097.92</t>
  </si>
  <si>
    <t>Bangladesh</t>
  </si>
  <si>
    <t>1/13/2017</t>
  </si>
  <si>
    <t>187310731</t>
  </si>
  <si>
    <t>3/1/2017</t>
  </si>
  <si>
    <t>8263</t>
  </si>
  <si>
    <t>296145.92</t>
  </si>
  <si>
    <t>606834.72</t>
  </si>
  <si>
    <t>Honduras</t>
  </si>
  <si>
    <t>2/8/2017</t>
  </si>
  <si>
    <t>522840487</t>
  </si>
  <si>
    <t>2/13/2017</t>
  </si>
  <si>
    <t>8974</t>
  </si>
  <si>
    <t>4509793.96</t>
  </si>
  <si>
    <t>1487261.02</t>
  </si>
  <si>
    <t>Mongolia</t>
  </si>
  <si>
    <t>2/19/2014</t>
  </si>
  <si>
    <t>832401311</t>
  </si>
  <si>
    <t>2/23/2014</t>
  </si>
  <si>
    <t>4901</t>
  </si>
  <si>
    <t>277739.67</t>
  </si>
  <si>
    <t>122819.06</t>
  </si>
  <si>
    <t>Bulgaria</t>
  </si>
  <si>
    <t>4/23/2012</t>
  </si>
  <si>
    <t>972292029</t>
  </si>
  <si>
    <t>6/3/2012</t>
  </si>
  <si>
    <t>1673</t>
  </si>
  <si>
    <t>59960.32</t>
  </si>
  <si>
    <t>122865.12</t>
  </si>
  <si>
    <t>Sri Lanka</t>
  </si>
  <si>
    <t>Cosmetics</t>
  </si>
  <si>
    <t>11/19/2016</t>
  </si>
  <si>
    <t>419123971</t>
  </si>
  <si>
    <t>12/18/2016</t>
  </si>
  <si>
    <t>6952</t>
  </si>
  <si>
    <t>437.20</t>
  </si>
  <si>
    <t>263.33</t>
  </si>
  <si>
    <t>1830670.16</t>
  </si>
  <si>
    <t>1208744.24</t>
  </si>
  <si>
    <t>Cameroon</t>
  </si>
  <si>
    <t>Beverages</t>
  </si>
  <si>
    <t>4/1/2015</t>
  </si>
  <si>
    <t>519820964</t>
  </si>
  <si>
    <t>4/18/2015</t>
  </si>
  <si>
    <t>5430</t>
  </si>
  <si>
    <t>47.45</t>
  </si>
  <si>
    <t>31.79</t>
  </si>
  <si>
    <t>172619.70</t>
  </si>
  <si>
    <t>85033.80</t>
  </si>
  <si>
    <t>Turkmenistan</t>
  </si>
  <si>
    <t>12/30/2010</t>
  </si>
  <si>
    <t>441619336</t>
  </si>
  <si>
    <t>1/20/2011</t>
  </si>
  <si>
    <t>3830</t>
  </si>
  <si>
    <t>1924728.20</t>
  </si>
  <si>
    <t>634745.90</t>
  </si>
  <si>
    <t>East Timor</t>
  </si>
  <si>
    <t>Meat</t>
  </si>
  <si>
    <t>7/31/2012</t>
  </si>
  <si>
    <t>322067916</t>
  </si>
  <si>
    <t>9/11/2012</t>
  </si>
  <si>
    <t>5908</t>
  </si>
  <si>
    <t>421.89</t>
  </si>
  <si>
    <t>364.69</t>
  </si>
  <si>
    <t>2154588.52</t>
  </si>
  <si>
    <t>337937.60</t>
  </si>
  <si>
    <t>Norway</t>
  </si>
  <si>
    <t>5/14/2014</t>
  </si>
  <si>
    <t>819028031</t>
  </si>
  <si>
    <t>6/28/2014</t>
  </si>
  <si>
    <t>7450</t>
  </si>
  <si>
    <t>1187679.00</t>
  </si>
  <si>
    <t>714157.00</t>
  </si>
  <si>
    <t>Portugal</t>
  </si>
  <si>
    <t>7/31/2015</t>
  </si>
  <si>
    <t>860673511</t>
  </si>
  <si>
    <t>9/3/2015</t>
  </si>
  <si>
    <t>1273</t>
  </si>
  <si>
    <t>202941.66</t>
  </si>
  <si>
    <t>122029.78</t>
  </si>
  <si>
    <t>Snacks</t>
  </si>
  <si>
    <t>6/30/2016</t>
  </si>
  <si>
    <t>795490682</t>
  </si>
  <si>
    <t>7/26/2016</t>
  </si>
  <si>
    <t>2225</t>
  </si>
  <si>
    <t>152.58</t>
  </si>
  <si>
    <t>97.44</t>
  </si>
  <si>
    <t>216804.00</t>
  </si>
  <si>
    <t>122686.50</t>
  </si>
  <si>
    <t>New Zealand</t>
  </si>
  <si>
    <t>9/8/2014</t>
  </si>
  <si>
    <t>142278373</t>
  </si>
  <si>
    <t>10/4/2014</t>
  </si>
  <si>
    <t>2187</t>
  </si>
  <si>
    <t>15134.04</t>
  </si>
  <si>
    <t>5270.67</t>
  </si>
  <si>
    <t>Moldova</t>
  </si>
  <si>
    <t>5/7/2016</t>
  </si>
  <si>
    <t>740147912</t>
  </si>
  <si>
    <t>5/10/2016</t>
  </si>
  <si>
    <t>5070</t>
  </si>
  <si>
    <t>287316.90</t>
  </si>
  <si>
    <t>127054.20</t>
  </si>
  <si>
    <t>France</t>
  </si>
  <si>
    <t>5/22/2017</t>
  </si>
  <si>
    <t>898523128</t>
  </si>
  <si>
    <t>6/5/2017</t>
  </si>
  <si>
    <t>1815</t>
  </si>
  <si>
    <t>477943.95</t>
  </si>
  <si>
    <t>315574.05</t>
  </si>
  <si>
    <t>Kiribati</t>
  </si>
  <si>
    <t>10/13/2014</t>
  </si>
  <si>
    <t>347140347</t>
  </si>
  <si>
    <t>11/10/2014</t>
  </si>
  <si>
    <t>5398</t>
  </si>
  <si>
    <t>37354.16</t>
  </si>
  <si>
    <t>13009.18</t>
  </si>
  <si>
    <t>Mali</t>
  </si>
  <si>
    <t>5/7/2010</t>
  </si>
  <si>
    <t>686048400</t>
  </si>
  <si>
    <t>5/10/2010</t>
  </si>
  <si>
    <t>5822</t>
  </si>
  <si>
    <t>40288.24</t>
  </si>
  <si>
    <t>14031.02</t>
  </si>
  <si>
    <t>7/18/2014</t>
  </si>
  <si>
    <t>435608613</t>
  </si>
  <si>
    <t>7/30/2014</t>
  </si>
  <si>
    <t>5124</t>
  </si>
  <si>
    <t>162891.96</t>
  </si>
  <si>
    <t>80241.84</t>
  </si>
  <si>
    <t>The Gambia</t>
  </si>
  <si>
    <t>5/26/2012</t>
  </si>
  <si>
    <t>886494815</t>
  </si>
  <si>
    <t>6/9/2012</t>
  </si>
  <si>
    <t>2370</t>
  </si>
  <si>
    <t>1191019.80</t>
  </si>
  <si>
    <t>392780.10</t>
  </si>
  <si>
    <t>Switzerland</t>
  </si>
  <si>
    <t>9/17/2012</t>
  </si>
  <si>
    <t>249693334</t>
  </si>
  <si>
    <t>10/20/2012</t>
  </si>
  <si>
    <t>8661</t>
  </si>
  <si>
    <t>2280701.13</t>
  </si>
  <si>
    <t>1505888.07</t>
  </si>
  <si>
    <t>South Sudan</t>
  </si>
  <si>
    <t>12/29/2013</t>
  </si>
  <si>
    <t>406502997</t>
  </si>
  <si>
    <t>1/28/2014</t>
  </si>
  <si>
    <t>2125</t>
  </si>
  <si>
    <t>120423.75</t>
  </si>
  <si>
    <t>53252.50</t>
  </si>
  <si>
    <t>Australia</t>
  </si>
  <si>
    <t>10/27/2015</t>
  </si>
  <si>
    <t>158535134</t>
  </si>
  <si>
    <t>11/25/2015</t>
  </si>
  <si>
    <t>2924</t>
  </si>
  <si>
    <t>1534983.04</t>
  </si>
  <si>
    <t>369155.00</t>
  </si>
  <si>
    <t>Myanmar</t>
  </si>
  <si>
    <t>1/16/2015</t>
  </si>
  <si>
    <t>177713572</t>
  </si>
  <si>
    <t>3/1/2015</t>
  </si>
  <si>
    <t>8250</t>
  </si>
  <si>
    <t>4145955.00</t>
  </si>
  <si>
    <t>1367272.50</t>
  </si>
  <si>
    <t>Djibouti</t>
  </si>
  <si>
    <t>2/25/2017</t>
  </si>
  <si>
    <t>756274640</t>
  </si>
  <si>
    <t>7327</t>
  </si>
  <si>
    <t>713942.88</t>
  </si>
  <si>
    <t>404010.78</t>
  </si>
  <si>
    <t>Costa Rica</t>
  </si>
  <si>
    <t>5/8/2017</t>
  </si>
  <si>
    <t>456767165</t>
  </si>
  <si>
    <t>5/21/2017</t>
  </si>
  <si>
    <t>6409</t>
  </si>
  <si>
    <t>363198.03</t>
  </si>
  <si>
    <t>160609.54</t>
  </si>
  <si>
    <t>Middle East and North Africa</t>
  </si>
  <si>
    <t>Syria</t>
  </si>
  <si>
    <t>11/22/2011</t>
  </si>
  <si>
    <t>162052476</t>
  </si>
  <si>
    <t>12/3/2011</t>
  </si>
  <si>
    <t>3784</t>
  </si>
  <si>
    <t>26185.28</t>
  </si>
  <si>
    <t>9119.44</t>
  </si>
  <si>
    <t>1/14/2017</t>
  </si>
  <si>
    <t>825304400</t>
  </si>
  <si>
    <t>1/23/2017</t>
  </si>
  <si>
    <t>4767</t>
  </si>
  <si>
    <t>1738477.23</t>
  </si>
  <si>
    <t>272672.40</t>
  </si>
  <si>
    <t>Brunei</t>
  </si>
  <si>
    <t>4/1/2012</t>
  </si>
  <si>
    <t>320009267</t>
  </si>
  <si>
    <t>5/8/2012</t>
  </si>
  <si>
    <t>6708</t>
  </si>
  <si>
    <t>3521431.68</t>
  </si>
  <si>
    <t>846885.00</t>
  </si>
  <si>
    <t>2/16/2012</t>
  </si>
  <si>
    <t>189965903</t>
  </si>
  <si>
    <t>2/28/2012</t>
  </si>
  <si>
    <t>3987</t>
  </si>
  <si>
    <t>2093015.52</t>
  </si>
  <si>
    <t>503358.75</t>
  </si>
  <si>
    <t>Niger</t>
  </si>
  <si>
    <t>3/11/2017</t>
  </si>
  <si>
    <t>699285638</t>
  </si>
  <si>
    <t>3/28/2017</t>
  </si>
  <si>
    <t>3015</t>
  </si>
  <si>
    <t>170860.05</t>
  </si>
  <si>
    <t>75555.90</t>
  </si>
  <si>
    <t>Azerbaijan</t>
  </si>
  <si>
    <t>2/6/2010</t>
  </si>
  <si>
    <t>382392299</t>
  </si>
  <si>
    <t>2/25/2010</t>
  </si>
  <si>
    <t>7234</t>
  </si>
  <si>
    <t>1904929.22</t>
  </si>
  <si>
    <t>1257775.58</t>
  </si>
  <si>
    <t>6/7/2012</t>
  </si>
  <si>
    <t>994022214</t>
  </si>
  <si>
    <t>6/8/2012</t>
  </si>
  <si>
    <t>2117</t>
  </si>
  <si>
    <t>247921.87</t>
  </si>
  <si>
    <t>187545.03</t>
  </si>
  <si>
    <t>Slovakia</t>
  </si>
  <si>
    <t>10/6/2012</t>
  </si>
  <si>
    <t>759224212</t>
  </si>
  <si>
    <t>11/10/2012</t>
  </si>
  <si>
    <t>171</t>
  </si>
  <si>
    <t>15549.03</t>
  </si>
  <si>
    <t>10795.23</t>
  </si>
  <si>
    <t>11/14/2015</t>
  </si>
  <si>
    <t>223359620</t>
  </si>
  <si>
    <t>11/18/2015</t>
  </si>
  <si>
    <t>5930</t>
  </si>
  <si>
    <t>212531.20</t>
  </si>
  <si>
    <t>435499.20</t>
  </si>
  <si>
    <t>Comoros</t>
  </si>
  <si>
    <t>3/29/2016</t>
  </si>
  <si>
    <t>902102267</t>
  </si>
  <si>
    <t>4/29/2016</t>
  </si>
  <si>
    <t>962</t>
  </si>
  <si>
    <t>112659.82</t>
  </si>
  <si>
    <t>85223.58</t>
  </si>
  <si>
    <t>Iceland</t>
  </si>
  <si>
    <t>12/31/2016</t>
  </si>
  <si>
    <t>331438481</t>
  </si>
  <si>
    <t>8867</t>
  </si>
  <si>
    <t>2334947.11</t>
  </si>
  <si>
    <t>1541705.29</t>
  </si>
  <si>
    <t>12/23/2010</t>
  </si>
  <si>
    <t>617667090</t>
  </si>
  <si>
    <t>1/31/2011</t>
  </si>
  <si>
    <t>273</t>
  </si>
  <si>
    <t>15470.91</t>
  </si>
  <si>
    <t>6841.38</t>
  </si>
  <si>
    <t>Macedonia</t>
  </si>
  <si>
    <t>10/14/2014</t>
  </si>
  <si>
    <t>787399423</t>
  </si>
  <si>
    <t>11/14/2014</t>
  </si>
  <si>
    <t>7842</t>
  </si>
  <si>
    <t>281057.28</t>
  </si>
  <si>
    <t>575916.48</t>
  </si>
  <si>
    <t>Mauritania</t>
  </si>
  <si>
    <t>1/11/2012</t>
  </si>
  <si>
    <t>837559306</t>
  </si>
  <si>
    <t>1/13/2012</t>
  </si>
  <si>
    <t>1266</t>
  </si>
  <si>
    <t>664599.36</t>
  </si>
  <si>
    <t>159832.50</t>
  </si>
  <si>
    <t>Albania</t>
  </si>
  <si>
    <t>2/2/2010</t>
  </si>
  <si>
    <t>385383069</t>
  </si>
  <si>
    <t>3/18/2010</t>
  </si>
  <si>
    <t>2269</t>
  </si>
  <si>
    <t>81320.96</t>
  </si>
  <si>
    <t>166635.36</t>
  </si>
  <si>
    <t>Lesotho</t>
  </si>
  <si>
    <t>8/18/2013</t>
  </si>
  <si>
    <t>918419539</t>
  </si>
  <si>
    <t>9/18/2013</t>
  </si>
  <si>
    <t>9606</t>
  </si>
  <si>
    <t>66473.52</t>
  </si>
  <si>
    <t>23150.46</t>
  </si>
  <si>
    <t>Saudi Arabia</t>
  </si>
  <si>
    <t>3/25/2013</t>
  </si>
  <si>
    <t>844530045</t>
  </si>
  <si>
    <t>3/28/2013</t>
  </si>
  <si>
    <t>4063</t>
  </si>
  <si>
    <t>475817.93</t>
  </si>
  <si>
    <t>359941.17</t>
  </si>
  <si>
    <t>Sierra Leone</t>
  </si>
  <si>
    <t>11/26/2011</t>
  </si>
  <si>
    <t>441888415</t>
  </si>
  <si>
    <t>1/7/2012</t>
  </si>
  <si>
    <t>3457</t>
  </si>
  <si>
    <t>1814786.72</t>
  </si>
  <si>
    <t>436446.25</t>
  </si>
  <si>
    <t>9/17/2013</t>
  </si>
  <si>
    <t>508980977</t>
  </si>
  <si>
    <t>10/24/2013</t>
  </si>
  <si>
    <t>7637</t>
  </si>
  <si>
    <t>52848.04</t>
  </si>
  <si>
    <t>18405.17</t>
  </si>
  <si>
    <t>Cote d'Ivoire</t>
  </si>
  <si>
    <t>114606559</t>
  </si>
  <si>
    <t>6/27/2012</t>
  </si>
  <si>
    <t>3482</t>
  </si>
  <si>
    <t>124794.88</t>
  </si>
  <si>
    <t>255718.08</t>
  </si>
  <si>
    <t>Fiji</t>
  </si>
  <si>
    <t>6/30/2010</t>
  </si>
  <si>
    <t>647876489</t>
  </si>
  <si>
    <t>8/1/2010</t>
  </si>
  <si>
    <t>9905</t>
  </si>
  <si>
    <t>354995.20</t>
  </si>
  <si>
    <t>727423.20</t>
  </si>
  <si>
    <t>Austria</t>
  </si>
  <si>
    <t>2/23/2015</t>
  </si>
  <si>
    <t>868214595</t>
  </si>
  <si>
    <t>3/2/2015</t>
  </si>
  <si>
    <t>2847</t>
  </si>
  <si>
    <t>749700.51</t>
  </si>
  <si>
    <t>495007.89</t>
  </si>
  <si>
    <t>United Kingdom</t>
  </si>
  <si>
    <t>1/5/2012</t>
  </si>
  <si>
    <t>955357205</t>
  </si>
  <si>
    <t>2/14/2012</t>
  </si>
  <si>
    <t>282</t>
  </si>
  <si>
    <t>141716.28</t>
  </si>
  <si>
    <t>46735.86</t>
  </si>
  <si>
    <t>4/7/2014</t>
  </si>
  <si>
    <t>259353148</t>
  </si>
  <si>
    <t>4/19/2014</t>
  </si>
  <si>
    <t>7215</t>
  </si>
  <si>
    <t>1899925.95</t>
  </si>
  <si>
    <t>1254472.05</t>
  </si>
  <si>
    <t>6/9/2013</t>
  </si>
  <si>
    <t>450563752</t>
  </si>
  <si>
    <t>7/2/2013</t>
  </si>
  <si>
    <t>682</t>
  </si>
  <si>
    <t>79869.02</t>
  </si>
  <si>
    <t>60418.38</t>
  </si>
  <si>
    <t>San Marino</t>
  </si>
  <si>
    <t>6/26/2013</t>
  </si>
  <si>
    <t>569662845</t>
  </si>
  <si>
    <t>7/1/2013</t>
  </si>
  <si>
    <t>4750</t>
  </si>
  <si>
    <t>757245.00</t>
  </si>
  <si>
    <t>455335.00</t>
  </si>
  <si>
    <t>11/7/2011</t>
  </si>
  <si>
    <t>177636754</t>
  </si>
  <si>
    <t>11/15/2011</t>
  </si>
  <si>
    <t>5518</t>
  </si>
  <si>
    <t>2896729.28</t>
  </si>
  <si>
    <t>696647.50</t>
  </si>
  <si>
    <t>Libya</t>
  </si>
  <si>
    <t>10/30/2010</t>
  </si>
  <si>
    <t>705784308</t>
  </si>
  <si>
    <t>11/17/2010</t>
  </si>
  <si>
    <t>6116</t>
  </si>
  <si>
    <t>219197.44</t>
  </si>
  <si>
    <t>449159.04</t>
  </si>
  <si>
    <t>Haiti</t>
  </si>
  <si>
    <t>10/13/2013</t>
  </si>
  <si>
    <t>505716836</t>
  </si>
  <si>
    <t>11/16/2013</t>
  </si>
  <si>
    <t>1705</t>
  </si>
  <si>
    <t>448977.65</t>
  </si>
  <si>
    <t>296448.35</t>
  </si>
  <si>
    <t>10/11/2013</t>
  </si>
  <si>
    <t>699358165</t>
  </si>
  <si>
    <t>11/25/2013</t>
  </si>
  <si>
    <t>4477</t>
  </si>
  <si>
    <t>1178928.41</t>
  </si>
  <si>
    <t>778415.99</t>
  </si>
  <si>
    <t>Gabon</t>
  </si>
  <si>
    <t>7/8/2012</t>
  </si>
  <si>
    <t>228944623</t>
  </si>
  <si>
    <t>7/9/2012</t>
  </si>
  <si>
    <t>8656</t>
  </si>
  <si>
    <t>490535.52</t>
  </si>
  <si>
    <t>216919.36</t>
  </si>
  <si>
    <t>Belize</t>
  </si>
  <si>
    <t>7/25/2016</t>
  </si>
  <si>
    <t>807025039</t>
  </si>
  <si>
    <t>9/7/2016</t>
  </si>
  <si>
    <t>5498</t>
  </si>
  <si>
    <t>197048.32</t>
  </si>
  <si>
    <t>403773.12</t>
  </si>
  <si>
    <t>Lithuania</t>
  </si>
  <si>
    <t>10/24/2010</t>
  </si>
  <si>
    <t>166460740</t>
  </si>
  <si>
    <t>8287</t>
  </si>
  <si>
    <t>4350343.52</t>
  </si>
  <si>
    <t>1046233.75</t>
  </si>
  <si>
    <t>Madagascar</t>
  </si>
  <si>
    <t>4/25/2015</t>
  </si>
  <si>
    <t>610425555</t>
  </si>
  <si>
    <t>5/28/2015</t>
  </si>
  <si>
    <t>7342</t>
  </si>
  <si>
    <t>263137.28</t>
  </si>
  <si>
    <t>539196.48</t>
  </si>
  <si>
    <t>4/23/2013</t>
  </si>
  <si>
    <t>462405812</t>
  </si>
  <si>
    <t>5/20/2013</t>
  </si>
  <si>
    <t>5010</t>
  </si>
  <si>
    <t>2630049.60</t>
  </si>
  <si>
    <t>632512.50</t>
  </si>
  <si>
    <t>8/14/2015</t>
  </si>
  <si>
    <t>816200339</t>
  </si>
  <si>
    <t>9/30/2015</t>
  </si>
  <si>
    <t>673</t>
  </si>
  <si>
    <t>4657.16</t>
  </si>
  <si>
    <t>1621.93</t>
  </si>
  <si>
    <t>Democratic Republic of the Congo</t>
  </si>
  <si>
    <t>5/26/2011</t>
  </si>
  <si>
    <t>585920464</t>
  </si>
  <si>
    <t>7/15/2011</t>
  </si>
  <si>
    <t>5741</t>
  </si>
  <si>
    <t>182506.39</t>
  </si>
  <si>
    <t>89904.06</t>
  </si>
  <si>
    <t>5/20/2017</t>
  </si>
  <si>
    <t>555990016</t>
  </si>
  <si>
    <t>6/17/2017</t>
  </si>
  <si>
    <t>1013704.16</t>
  </si>
  <si>
    <t>766835.04</t>
  </si>
  <si>
    <t>Pakistan</t>
  </si>
  <si>
    <t>7/5/2013</t>
  </si>
  <si>
    <t>231145322</t>
  </si>
  <si>
    <t>8/16/2013</t>
  </si>
  <si>
    <t>9892</t>
  </si>
  <si>
    <t>2604860.36</t>
  </si>
  <si>
    <t>1719922.04</t>
  </si>
  <si>
    <t>North America</t>
  </si>
  <si>
    <t>Mexico</t>
  </si>
  <si>
    <t>11/6/2014</t>
  </si>
  <si>
    <t>986435210</t>
  </si>
  <si>
    <t>12/12/2014</t>
  </si>
  <si>
    <t>6954</t>
  </si>
  <si>
    <t>3494663.16</t>
  </si>
  <si>
    <t>1152486.42</t>
  </si>
  <si>
    <t>Federated States of Micronesia</t>
  </si>
  <si>
    <t>10/28/2014</t>
  </si>
  <si>
    <t>217221009</t>
  </si>
  <si>
    <t>11/15/2014</t>
  </si>
  <si>
    <t>9379</t>
  </si>
  <si>
    <t>298158.41</t>
  </si>
  <si>
    <t>146875.14</t>
  </si>
  <si>
    <t>Laos</t>
  </si>
  <si>
    <t>9/15/2011</t>
  </si>
  <si>
    <t>789176547</t>
  </si>
  <si>
    <t>10/23/2011</t>
  </si>
  <si>
    <t>3732</t>
  </si>
  <si>
    <t>339350.76</t>
  </si>
  <si>
    <t>235601.16</t>
  </si>
  <si>
    <t>Monaco</t>
  </si>
  <si>
    <t>5/29/2012</t>
  </si>
  <si>
    <t>688288152</t>
  </si>
  <si>
    <t>6/2/2012</t>
  </si>
  <si>
    <t>8614</t>
  </si>
  <si>
    <t>1373243.88</t>
  </si>
  <si>
    <t>825738.04</t>
  </si>
  <si>
    <t>Samoa</t>
  </si>
  <si>
    <t>7/20/2013</t>
  </si>
  <si>
    <t>670854651</t>
  </si>
  <si>
    <t>8/7/2013</t>
  </si>
  <si>
    <t>9654</t>
  </si>
  <si>
    <t>2542187.82</t>
  </si>
  <si>
    <t>1678540.98</t>
  </si>
  <si>
    <t>Spain</t>
  </si>
  <si>
    <t>10/21/2012</t>
  </si>
  <si>
    <t>213487374</t>
  </si>
  <si>
    <t>11/30/2012</t>
  </si>
  <si>
    <t>4513</t>
  </si>
  <si>
    <t>2267963.02</t>
  </si>
  <si>
    <t>747939.49</t>
  </si>
  <si>
    <t>Lebanon</t>
  </si>
  <si>
    <t>9/18/2012</t>
  </si>
  <si>
    <t>663110148</t>
  </si>
  <si>
    <t>10/8/2012</t>
  </si>
  <si>
    <t>7884</t>
  </si>
  <si>
    <t>282562.56</t>
  </si>
  <si>
    <t>579000.96</t>
  </si>
  <si>
    <t>Iran</t>
  </si>
  <si>
    <t>11/15/2016</t>
  </si>
  <si>
    <t>286959302</t>
  </si>
  <si>
    <t>12/8/2016</t>
  </si>
  <si>
    <t>6489</t>
  </si>
  <si>
    <t>1708748.37</t>
  </si>
  <si>
    <t>1128242.43</t>
  </si>
  <si>
    <t>Zambia</t>
  </si>
  <si>
    <t>1/4/2011</t>
  </si>
  <si>
    <t>122583663</t>
  </si>
  <si>
    <t>1/5/2011</t>
  </si>
  <si>
    <t>4085</t>
  </si>
  <si>
    <t>398042.40</t>
  </si>
  <si>
    <t>225246.90</t>
  </si>
  <si>
    <t>Kenya</t>
  </si>
  <si>
    <t>3/18/2012</t>
  </si>
  <si>
    <t>827844560</t>
  </si>
  <si>
    <t>4/7/2012</t>
  </si>
  <si>
    <t>6457</t>
  </si>
  <si>
    <t>587135.01</t>
  </si>
  <si>
    <t>407630.41</t>
  </si>
  <si>
    <t>2/17/2012</t>
  </si>
  <si>
    <t>430915820</t>
  </si>
  <si>
    <t>3/20/2012</t>
  </si>
  <si>
    <t>6422</t>
  </si>
  <si>
    <t>363934.74</t>
  </si>
  <si>
    <t>160935.32</t>
  </si>
  <si>
    <t>1/16/2011</t>
  </si>
  <si>
    <t>180283772</t>
  </si>
  <si>
    <t>1/21/2011</t>
  </si>
  <si>
    <t>8829</t>
  </si>
  <si>
    <t>280673.91</t>
  </si>
  <si>
    <t>138262.14</t>
  </si>
  <si>
    <t>2/3/2014</t>
  </si>
  <si>
    <t>494747245</t>
  </si>
  <si>
    <t>3/20/2014</t>
  </si>
  <si>
    <t>5559</t>
  </si>
  <si>
    <t>886215.78</t>
  </si>
  <si>
    <t>532885.74</t>
  </si>
  <si>
    <t>Kuwait</t>
  </si>
  <si>
    <t>4/30/2012</t>
  </si>
  <si>
    <t>513417565</t>
  </si>
  <si>
    <t>5/18/2012</t>
  </si>
  <si>
    <t>522</t>
  </si>
  <si>
    <t>3612.24</t>
  </si>
  <si>
    <t>1258.02</t>
  </si>
  <si>
    <t>Slovenia</t>
  </si>
  <si>
    <t>10/23/2016</t>
  </si>
  <si>
    <t>345718562</t>
  </si>
  <si>
    <t>11/25/2016</t>
  </si>
  <si>
    <t>4660</t>
  </si>
  <si>
    <t>148141.40</t>
  </si>
  <si>
    <t>72975.60</t>
  </si>
  <si>
    <t>12/6/2016</t>
  </si>
  <si>
    <t>621386563</t>
  </si>
  <si>
    <t>12/14/2016</t>
  </si>
  <si>
    <t>948</t>
  </si>
  <si>
    <t>497662.08</t>
  </si>
  <si>
    <t>119685.00</t>
  </si>
  <si>
    <t>7/7/2014</t>
  </si>
  <si>
    <t>240470397</t>
  </si>
  <si>
    <t>7/11/2014</t>
  </si>
  <si>
    <t>9389</t>
  </si>
  <si>
    <t>298476.31</t>
  </si>
  <si>
    <t>147031.74</t>
  </si>
  <si>
    <t>6/13/2012</t>
  </si>
  <si>
    <t>423331391</t>
  </si>
  <si>
    <t>7/24/2012</t>
  </si>
  <si>
    <t>2021</t>
  </si>
  <si>
    <t>1060944.16</t>
  </si>
  <si>
    <t>255151.25</t>
  </si>
  <si>
    <t>Romania</t>
  </si>
  <si>
    <t>11/26/2010</t>
  </si>
  <si>
    <t>660643374</t>
  </si>
  <si>
    <t>12/25/2010</t>
  </si>
  <si>
    <t>7910</t>
  </si>
  <si>
    <t>2082940.30</t>
  </si>
  <si>
    <t>1375311.70</t>
  </si>
  <si>
    <t>Nicaragua</t>
  </si>
  <si>
    <t>2/8/2011</t>
  </si>
  <si>
    <t>963392674</t>
  </si>
  <si>
    <t>3/21/2011</t>
  </si>
  <si>
    <t>8156</t>
  </si>
  <si>
    <t>259279.24</t>
  </si>
  <si>
    <t>127722.96</t>
  </si>
  <si>
    <t>7/26/2011</t>
  </si>
  <si>
    <t>512878119</t>
  </si>
  <si>
    <t>9/3/2011</t>
  </si>
  <si>
    <t>888</t>
  </si>
  <si>
    <t>31825.92</t>
  </si>
  <si>
    <t>65214.72</t>
  </si>
  <si>
    <t>Malaysia</t>
  </si>
  <si>
    <t>11/11/2011</t>
  </si>
  <si>
    <t>810711038</t>
  </si>
  <si>
    <t>12/28/2011</t>
  </si>
  <si>
    <t>6267</t>
  </si>
  <si>
    <t>43367.64</t>
  </si>
  <si>
    <t>15103.47</t>
  </si>
  <si>
    <t>6/1/2016</t>
  </si>
  <si>
    <t>728815257</t>
  </si>
  <si>
    <t>6/29/2016</t>
  </si>
  <si>
    <t>1485</t>
  </si>
  <si>
    <t>135031.05</t>
  </si>
  <si>
    <t>93748.05</t>
  </si>
  <si>
    <t>7/30/2015</t>
  </si>
  <si>
    <t>559427106</t>
  </si>
  <si>
    <t>8/8/2015</t>
  </si>
  <si>
    <t>5767</t>
  </si>
  <si>
    <t>326815.89</t>
  </si>
  <si>
    <t>144521.02</t>
  </si>
  <si>
    <t>Mozambique</t>
  </si>
  <si>
    <t>2/10/2012</t>
  </si>
  <si>
    <t>665095412</t>
  </si>
  <si>
    <t>2/15/2012</t>
  </si>
  <si>
    <t>5367</t>
  </si>
  <si>
    <t>2697132.18</t>
  </si>
  <si>
    <t>889472.91</t>
  </si>
  <si>
    <t>2010-02</t>
  </si>
  <si>
    <t>2010-05</t>
  </si>
  <si>
    <t>2010-06</t>
  </si>
  <si>
    <t>2010-10</t>
  </si>
  <si>
    <t>2010-11</t>
  </si>
  <si>
    <t>2010-12</t>
  </si>
  <si>
    <t>2011-01</t>
  </si>
  <si>
    <t>2011-02</t>
  </si>
  <si>
    <t>2011-04</t>
  </si>
  <si>
    <t>2011-05</t>
  </si>
  <si>
    <t>2011-06</t>
  </si>
  <si>
    <t>2011-07</t>
  </si>
  <si>
    <t>2011-09</t>
  </si>
  <si>
    <t>2011-11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</si>
  <si>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</si>
  <si>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</si>
  <si>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</si>
  <si>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</si>
  <si>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</si>
  <si>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</si>
  <si>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</si>
  <si>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</si>
  <si>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</si>
  <si>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</si>
  <si>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2013-02</t>
  </si>
  <si>
    <t>2013-03</t>
  </si>
  <si>
    <t>2013-04</t>
  </si>
  <si>
    <t>2013-06</t>
  </si>
  <si>
    <t>2013-07</t>
  </si>
  <si>
    <t>2013-08</t>
  </si>
  <si>
    <t>2013-09</t>
  </si>
  <si>
    <t>2013-10</t>
  </si>
  <si>
    <t>2013-12</t>
  </si>
  <si>
    <t>2014-02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</si>
  <si>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</si>
  <si>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</si>
  <si>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</si>
  <si>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</si>
  <si>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</si>
  <si>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</si>
  <si>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</si>
  <si>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</si>
  <si>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2015-01</t>
  </si>
  <si>
    <t>2015-02</t>
  </si>
  <si>
    <t>2015-04</t>
  </si>
  <si>
    <t>2015-07</t>
  </si>
  <si>
    <t>2015-08</t>
  </si>
  <si>
    <t>2015-10</t>
  </si>
  <si>
    <t>2015-11</t>
  </si>
  <si>
    <t>2016-03</t>
  </si>
  <si>
    <t>2016-05</t>
  </si>
  <si>
    <t>2016-06</t>
  </si>
  <si>
    <t>2016-07</t>
  </si>
  <si>
    <t>2016-10</t>
  </si>
  <si>
    <t>2016-11</t>
  </si>
  <si>
    <t>2016-12</t>
  </si>
  <si>
    <t>2017-01</t>
  </si>
  <si>
    <t>2017-02</t>
  </si>
  <si>
    <t>2017-03</t>
  </si>
  <si>
    <t>2017-05</t>
  </si>
  <si>
    <t>总计</t>
  </si>
  <si>
    <t xml:space="preserve"> </t>
  </si>
  <si>
    <t>zy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</si>
</sst>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quotePrefix="1"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Region!$A$2:$A$9</c:f>
            </c:strRef>
          </c:cat>
          <c:val>
            <c:numRef>
              <c:f>Region!$B$2:$B$9</c:f>
              <c:numCache/>
            </c:numRef>
          </c:val>
        </c:ser>
        <c:axId val="833603715"/>
        <c:axId val="1844387296"/>
      </c:barChart>
      <c:catAx>
        <c:axId val="83360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387296"/>
      </c:catAx>
      <c:valAx>
        <c:axId val="1844387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603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Trend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Month!$A$2:$A$103</c:f>
            </c:strRef>
          </c:cat>
          <c:val>
            <c:numRef>
              <c:f>Month!$B$2:$B$103</c:f>
              <c:numCache/>
            </c:numRef>
          </c:val>
          <c:smooth val="0"/>
        </c:ser>
        <c:axId val="527081151"/>
        <c:axId val="559860816"/>
      </c:lineChart>
      <c:catAx>
        <c:axId val="52708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860816"/>
      </c:catAx>
      <c:valAx>
        <c:axId val="559860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081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'Item Type'!$B$1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'Item Type'!$A$2:$A$14</c:f>
            </c:strRef>
          </c:cat>
          <c:val>
            <c:numRef>
              <c:f>'Item Type'!$B$2:$B$14</c:f>
              <c:numCache/>
            </c:numRef>
          </c:val>
        </c:ser>
        <c:axId val="1527978764"/>
        <c:axId val="1744488453"/>
      </c:barChart>
      <c:catAx>
        <c:axId val="1527978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488453"/>
      </c:catAx>
      <c:valAx>
        <c:axId val="1744488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978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'Item Type'!$B$1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'Item Type'!$A$2:$A$14</c:f>
            </c:strRef>
          </c:cat>
          <c:val>
            <c:numRef>
              <c:f>'Item Type'!$B$2:$B$14</c:f>
              <c:numCache/>
            </c:numRef>
          </c:val>
        </c:ser>
        <c:axId val="334054553"/>
        <c:axId val="864334948"/>
      </c:barChart>
      <c:catAx>
        <c:axId val="334054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334948"/>
      </c:catAx>
      <c:valAx>
        <c:axId val="864334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054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Trend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Month!$A$2:$A$103</c:f>
            </c:strRef>
          </c:cat>
          <c:val>
            <c:numRef>
              <c:f>Month!$B$2:$B$103</c:f>
              <c:numCache/>
            </c:numRef>
          </c:val>
          <c:smooth val="0"/>
        </c:ser>
        <c:axId val="560454915"/>
        <c:axId val="623488941"/>
      </c:lineChart>
      <c:catAx>
        <c:axId val="560454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488941"/>
      </c:catAx>
      <c:valAx>
        <c:axId val="623488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454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Region!$A$2:$A$9</c:f>
            </c:strRef>
          </c:cat>
          <c:val>
            <c:numRef>
              <c:f>Region!$B$2:$B$9</c:f>
              <c:numCache/>
            </c:numRef>
          </c:val>
        </c:ser>
        <c:axId val="442134043"/>
        <c:axId val="1201075112"/>
      </c:barChart>
      <c:catAx>
        <c:axId val="442134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075112"/>
      </c:catAx>
      <c:valAx>
        <c:axId val="1201075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134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190500</xdr:rowOff>
    </xdr:from>
    <xdr:ext cx="5715000" cy="353377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0</xdr:row>
      <xdr:rowOff>0</xdr:rowOff>
    </xdr:from>
    <xdr:ext cx="5715000" cy="353377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19050</xdr:rowOff>
    </xdr:from>
    <xdr:ext cx="5715000" cy="3533775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95250</xdr:rowOff>
    </xdr:from>
    <xdr:ext cx="5095875" cy="3143250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47625</xdr:rowOff>
    </xdr:from>
    <xdr:ext cx="5095875" cy="3143250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095875" cy="3143250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" sheet="Amazon Sales data"/>
  </cacheSource>
  <cacheFields>
    <cacheField name="Region" numFmtId="0">
      <sharedItems containsBlank="1">
        <s v="Australia and Oceania"/>
        <s v="Central America and the Caribbean"/>
        <s v="Europe"/>
        <s v="Sub-Saharan Africa"/>
        <s v="Asia"/>
        <s v="Middle East and North Africa"/>
        <s v="North America"/>
        <m/>
      </sharedItems>
    </cacheField>
    <cacheField name="Country" numFmtId="0">
      <sharedItems containsBlank="1">
        <s v="Tuvalu"/>
        <s v="Grenada"/>
        <s v="Russia"/>
        <s v="Sao Tome and Principe"/>
        <s v="Rwanda"/>
        <s v="Solomon Islands"/>
        <s v="Angola"/>
        <s v="Burkina Faso"/>
        <s v="Republic of the Congo"/>
        <s v="Senegal"/>
        <s v="Kyrgyzstan"/>
        <s v="Cape Verde"/>
        <s v="Bangladesh"/>
        <s v="Honduras"/>
        <s v="Mongolia"/>
        <s v="Bulgaria"/>
        <s v="Sri Lanka"/>
        <s v="Cameroon"/>
        <s v="Turkmenistan"/>
        <s v="East Timor"/>
        <s v="Norway"/>
        <s v="Portugal"/>
        <s v="New Zealand"/>
        <s v="Moldova"/>
        <s v="France"/>
        <s v="Kiribati"/>
        <s v="Mali"/>
        <s v="The Gambia"/>
        <s v="Switzerland"/>
        <s v="South Sudan"/>
        <s v="Australia"/>
        <s v="Myanmar"/>
        <s v="Djibouti"/>
        <s v="Costa Rica"/>
        <s v="Syria"/>
        <s v="Brunei"/>
        <s v="Niger"/>
        <s v="Azerbaijan"/>
        <s v="Slovakia"/>
        <s v="Comoros"/>
        <s v="Iceland"/>
        <s v="Macedonia"/>
        <s v="Mauritania"/>
        <s v="Albania"/>
        <s v="Lesotho"/>
        <s v="Saudi Arabia"/>
        <s v="Sierra Leone"/>
        <s v="Cote d'Ivoire"/>
        <s v="Fiji"/>
        <s v="Austria"/>
        <s v="United Kingdom"/>
        <s v="San Marino"/>
        <s v="Libya"/>
        <s v="Haiti"/>
        <s v="Gabon"/>
        <s v="Belize"/>
        <s v="Lithuania"/>
        <s v="Madagascar"/>
        <s v="Democratic Republic of the Congo"/>
        <s v="Pakistan"/>
        <s v="Mexico"/>
        <s v="Federated States of Micronesia"/>
        <s v="Laos"/>
        <s v="Monaco"/>
        <s v="Samoa"/>
        <s v="Spain"/>
        <s v="Lebanon"/>
        <s v="Iran"/>
        <s v="Zambia"/>
        <s v="Kenya"/>
        <s v="Kuwait"/>
        <s v="Slovenia"/>
        <s v="Romania"/>
        <s v="Nicaragua"/>
        <s v="Malaysia"/>
        <s v="Mozambique"/>
        <m/>
      </sharedItems>
    </cacheField>
    <cacheField name="Item Type" numFmtId="0">
      <sharedItems containsBlank="1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  <m/>
      </sharedItems>
    </cacheField>
    <cacheField name="Sales Channel" numFmtId="0">
      <sharedItems containsBlank="1">
        <s v="Offline"/>
        <s v="Online"/>
        <m/>
      </sharedItems>
    </cacheField>
    <cacheField name="Order Priority" numFmtId="0">
      <sharedItems containsBlank="1">
        <s v="H"/>
        <s v="C"/>
        <s v="L"/>
        <s v="M"/>
        <m/>
      </sharedItems>
    </cacheField>
    <cacheField name="Order Date" numFmtId="0">
      <sharedItems containsBlank="1">
        <s v="5/28/2010"/>
        <s v="8/22/2012"/>
        <s v="5/2/2014"/>
        <s v="6/20/2014"/>
        <s v="2/1/2013"/>
        <s v="2/4/2015"/>
        <s v="4/23/2011"/>
        <s v="7/17/2012"/>
        <s v="7/14/2015"/>
        <s v="4/18/2014"/>
        <s v="6/24/2011"/>
        <s v="8/2/2014"/>
        <s v="1/13/2017"/>
        <s v="2/8/2017"/>
        <s v="2/19/2014"/>
        <s v="4/23/2012"/>
        <s v="11/19/2016"/>
        <s v="4/1/2015"/>
        <s v="12/30/2010"/>
        <s v="7/31/2012"/>
        <s v="5/14/2014"/>
        <s v="7/31/2015"/>
        <s v="6/30/2016"/>
        <s v="9/8/2014"/>
        <s v="5/7/2016"/>
        <s v="5/22/2017"/>
        <s v="10/13/2014"/>
        <s v="5/7/2010"/>
        <s v="7/18/2014"/>
        <s v="5/26/2012"/>
        <s v="9/17/2012"/>
        <s v="12/29/2013"/>
        <s v="10/27/2015"/>
        <s v="1/16/2015"/>
        <s v="2/25/2017"/>
        <s v="5/8/2017"/>
        <s v="11/22/2011"/>
        <s v="1/14/2017"/>
        <s v="4/1/2012"/>
        <s v="2/16/2012"/>
        <s v="3/11/2017"/>
        <s v="2/6/2010"/>
        <s v="6/7/2012"/>
        <s v="10/6/2012"/>
        <s v="11/14/2015"/>
        <s v="3/29/2016"/>
        <s v="12/31/2016"/>
        <s v="12/23/2010"/>
        <s v="10/14/2014"/>
        <s v="1/11/2012"/>
        <s v="2/2/2010"/>
        <s v="8/18/2013"/>
        <s v="3/25/2013"/>
        <s v="11/26/2011"/>
        <s v="9/17/2013"/>
        <s v="6/8/2012"/>
        <s v="6/30/2010"/>
        <s v="2/23/2015"/>
        <s v="1/5/2012"/>
        <s v="4/7/2014"/>
        <s v="6/9/2013"/>
        <s v="6/26/2013"/>
        <s v="11/7/2011"/>
        <s v="10/30/2010"/>
        <s v="10/13/2013"/>
        <s v="10/11/2013"/>
        <s v="7/8/2012"/>
        <s v="7/25/2016"/>
        <s v="10/24/2010"/>
        <s v="4/25/2015"/>
        <s v="4/23/2013"/>
        <s v="8/14/2015"/>
        <s v="5/26/2011"/>
        <s v="5/20/2017"/>
        <s v="7/5/2013"/>
        <s v="11/6/2014"/>
        <s v="10/28/2014"/>
        <s v="9/15/2011"/>
        <s v="5/29/2012"/>
        <s v="7/20/2013"/>
        <s v="10/21/2012"/>
        <s v="9/18/2012"/>
        <s v="11/15/2016"/>
        <s v="1/4/2011"/>
        <s v="3/18/2012"/>
        <s v="2/17/2012"/>
        <s v="1/16/2011"/>
        <s v="2/3/2014"/>
        <s v="4/30/2012"/>
        <s v="10/23/2016"/>
        <s v="12/6/2016"/>
        <s v="7/7/2014"/>
        <s v="6/13/2012"/>
        <s v="11/26/2010"/>
        <s v="2/8/2011"/>
        <s v="7/26/2011"/>
        <s v="11/11/2011"/>
        <s v="6/1/2016"/>
        <s v="7/30/2015"/>
        <s v="2/10/2012"/>
        <m/>
      </sharedItems>
    </cacheField>
    <cacheField name="Month" numFmtId="4">
      <sharedItems containsBlank="1">
        <s v="2010-05"/>
        <s v="2012-08"/>
        <s v="2014-05"/>
        <s v="2014-06"/>
        <s v="2013-02"/>
        <s v="2015-02"/>
        <s v="2011-04"/>
        <s v="2012-07"/>
        <s v="2015-07"/>
        <s v="2014-04"/>
        <s v="2011-06"/>
        <s v="2014-08"/>
        <s v="2017-01"/>
        <s v="2017-02"/>
        <s v="2014-02"/>
        <s v="2012-04"/>
        <s v="2016-11"/>
        <s v="2015-04"/>
        <s v="2010-12"/>
        <s v="2016-06"/>
        <s v="2014-09"/>
        <s v="2016-05"/>
        <s v="2017-05"/>
        <s v="2014-10"/>
        <s v="2014-07"/>
        <s v="2012-05"/>
        <s v="2012-09"/>
        <s v="2013-12"/>
        <s v="2015-10"/>
        <s v="2015-01"/>
        <s v="2011-11"/>
        <s v="2012-02"/>
        <s v="2017-03"/>
        <s v="2010-02"/>
        <s v="2012-06"/>
        <s v="2012-10"/>
        <s v="2015-11"/>
        <s v="2016-03"/>
        <s v="2016-12"/>
        <s v="2012-01"/>
        <s v="2013-08"/>
        <s v="2013-03"/>
        <s v="2013-09"/>
        <s v="2010-06"/>
        <s v="2013-06"/>
        <s v="2010-10"/>
        <s v="2013-10"/>
        <s v="2016-07"/>
        <s v="2013-04"/>
        <s v="2015-08"/>
        <s v="2011-05"/>
        <s v="2013-07"/>
        <s v="2014-11"/>
        <s v="2011-09"/>
        <s v="2011-01"/>
        <s v="2012-03"/>
        <s v="2016-10"/>
        <s v="2010-11"/>
        <s v="2011-02"/>
        <s v="2011-07"/>
        <m/>
      </sharedItems>
    </cacheField>
    <cacheField name="Order ID" numFmtId="0">
      <sharedItems containsBlank="1">
        <s v="669165933"/>
        <s v="963881480"/>
        <s v="341417157"/>
        <s v="514321792"/>
        <s v="115456712"/>
        <s v="547995746"/>
        <s v="135425221"/>
        <s v="871543967"/>
        <s v="770463311"/>
        <s v="616607081"/>
        <s v="814711606"/>
        <s v="939825713"/>
        <s v="187310731"/>
        <s v="522840487"/>
        <s v="832401311"/>
        <s v="972292029"/>
        <s v="419123971"/>
        <s v="519820964"/>
        <s v="441619336"/>
        <s v="322067916"/>
        <s v="819028031"/>
        <s v="860673511"/>
        <s v="795490682"/>
        <s v="142278373"/>
        <s v="740147912"/>
        <s v="898523128"/>
        <s v="347140347"/>
        <s v="686048400"/>
        <s v="435608613"/>
        <s v="886494815"/>
        <s v="249693334"/>
        <s v="406502997"/>
        <s v="158535134"/>
        <s v="177713572"/>
        <s v="756274640"/>
        <s v="456767165"/>
        <s v="162052476"/>
        <s v="825304400"/>
        <s v="320009267"/>
        <s v="189965903"/>
        <s v="699285638"/>
        <s v="382392299"/>
        <s v="994022214"/>
        <s v="759224212"/>
        <s v="223359620"/>
        <s v="902102267"/>
        <s v="331438481"/>
        <s v="617667090"/>
        <s v="787399423"/>
        <s v="837559306"/>
        <s v="385383069"/>
        <s v="918419539"/>
        <s v="844530045"/>
        <s v="441888415"/>
        <s v="508980977"/>
        <s v="114606559"/>
        <s v="647876489"/>
        <s v="868214595"/>
        <s v="955357205"/>
        <s v="259353148"/>
        <s v="450563752"/>
        <s v="569662845"/>
        <s v="177636754"/>
        <s v="705784308"/>
        <s v="505716836"/>
        <s v="699358165"/>
        <s v="228944623"/>
        <s v="807025039"/>
        <s v="166460740"/>
        <s v="610425555"/>
        <s v="462405812"/>
        <s v="816200339"/>
        <s v="585920464"/>
        <s v="555990016"/>
        <s v="231145322"/>
        <s v="986435210"/>
        <s v="217221009"/>
        <s v="789176547"/>
        <s v="688288152"/>
        <s v="670854651"/>
        <s v="213487374"/>
        <s v="663110148"/>
        <s v="286959302"/>
        <s v="122583663"/>
        <s v="827844560"/>
        <s v="430915820"/>
        <s v="180283772"/>
        <s v="494747245"/>
        <s v="513417565"/>
        <s v="345718562"/>
        <s v="621386563"/>
        <s v="240470397"/>
        <s v="423331391"/>
        <s v="660643374"/>
        <s v="963392674"/>
        <s v="512878119"/>
        <s v="810711038"/>
        <s v="728815257"/>
        <s v="559427106"/>
        <s v="665095412"/>
        <m/>
      </sharedItems>
    </cacheField>
    <cacheField name="Ship Date" numFmtId="0">
      <sharedItems containsBlank="1">
        <s v="6/27/2010"/>
        <s v="9/15/2012"/>
        <s v="5/8/2014"/>
        <s v="7/5/2014"/>
        <s v="2/6/2013"/>
        <s v="2/21/2015"/>
        <s v="4/27/2011"/>
        <s v="7/27/2012"/>
        <s v="8/25/2015"/>
        <s v="5/30/2014"/>
        <s v="7/12/2011"/>
        <s v="8/19/2014"/>
        <s v="3/1/2017"/>
        <s v="2/13/2017"/>
        <s v="2/23/2014"/>
        <s v="6/3/2012"/>
        <s v="12/18/2016"/>
        <s v="4/18/2015"/>
        <s v="1/20/2011"/>
        <s v="9/11/2012"/>
        <s v="6/28/2014"/>
        <s v="9/3/2015"/>
        <s v="7/26/2016"/>
        <s v="10/4/2014"/>
        <s v="5/10/2016"/>
        <s v="6/5/2017"/>
        <s v="11/10/2014"/>
        <s v="5/10/2010"/>
        <s v="7/30/2014"/>
        <s v="6/9/2012"/>
        <s v="10/20/2012"/>
        <s v="1/28/2014"/>
        <s v="11/25/2015"/>
        <s v="3/1/2015"/>
        <s v="2/25/2017"/>
        <s v="5/21/2017"/>
        <s v="12/3/2011"/>
        <s v="1/23/2017"/>
        <s v="5/8/2012"/>
        <s v="2/28/2012"/>
        <s v="3/28/2017"/>
        <s v="2/25/2010"/>
        <s v="6/8/2012"/>
        <s v="11/10/2012"/>
        <s v="11/18/2015"/>
        <s v="4/29/2016"/>
        <s v="12/31/2016"/>
        <s v="1/31/2011"/>
        <s v="11/14/2014"/>
        <s v="1/13/2012"/>
        <s v="3/18/2010"/>
        <s v="9/18/2013"/>
        <s v="3/28/2013"/>
        <s v="1/7/2012"/>
        <s v="10/24/2013"/>
        <s v="6/27/2012"/>
        <s v="8/1/2010"/>
        <s v="3/2/2015"/>
        <s v="2/14/2012"/>
        <s v="4/19/2014"/>
        <s v="7/2/2013"/>
        <s v="7/1/2013"/>
        <s v="11/15/2011"/>
        <s v="11/17/2010"/>
        <s v="11/16/2013"/>
        <s v="11/25/2013"/>
        <s v="7/9/2012"/>
        <s v="9/7/2016"/>
        <s v="5/28/2015"/>
        <s v="5/20/2013"/>
        <s v="9/30/2015"/>
        <s v="7/15/2011"/>
        <s v="6/17/2017"/>
        <s v="8/16/2013"/>
        <s v="12/12/2014"/>
        <s v="11/15/2014"/>
        <s v="10/23/2011"/>
        <s v="6/2/2012"/>
        <s v="8/7/2013"/>
        <s v="11/30/2012"/>
        <s v="10/8/2012"/>
        <s v="12/8/2016"/>
        <s v="1/5/2011"/>
        <s v="4/7/2012"/>
        <s v="3/20/2012"/>
        <s v="1/21/2011"/>
        <s v="3/20/2014"/>
        <s v="5/18/2012"/>
        <s v="11/25/2016"/>
        <s v="12/14/2016"/>
        <s v="7/11/2014"/>
        <s v="7/24/2012"/>
        <s v="12/25/2010"/>
        <s v="3/21/2011"/>
        <s v="9/3/2011"/>
        <s v="12/28/2011"/>
        <s v="6/29/2016"/>
        <s v="8/8/2015"/>
        <s v="2/15/2012"/>
        <m/>
      </sharedItems>
    </cacheField>
    <cacheField name="Units Sold" numFmtId="0">
      <sharedItems containsBlank="1">
        <s v="9925"/>
        <s v="2804"/>
        <s v="1779"/>
        <s v="8102"/>
        <s v="5062"/>
        <s v="2974"/>
        <s v="4187"/>
        <s v="8082"/>
        <s v="6070"/>
        <s v="6593"/>
        <s v="124"/>
        <s v="4168"/>
        <s v="8263"/>
        <s v="8974"/>
        <s v="4901"/>
        <s v="1673"/>
        <s v="6952"/>
        <s v="5430"/>
        <s v="3830"/>
        <s v="5908"/>
        <s v="7450"/>
        <s v="1273"/>
        <s v="2225"/>
        <s v="2187"/>
        <s v="5070"/>
        <s v="1815"/>
        <s v="5398"/>
        <s v="5822"/>
        <s v="5124"/>
        <s v="2370"/>
        <s v="8661"/>
        <s v="2125"/>
        <s v="2924"/>
        <s v="8250"/>
        <s v="7327"/>
        <s v="6409"/>
        <s v="3784"/>
        <s v="4767"/>
        <s v="6708"/>
        <s v="3987"/>
        <s v="3015"/>
        <s v="7234"/>
        <s v="2117"/>
        <s v="171"/>
        <s v="5930"/>
        <s v="962"/>
        <s v="8867"/>
        <s v="273"/>
        <s v="7842"/>
        <s v="1266"/>
        <s v="2269"/>
        <s v="9606"/>
        <s v="4063"/>
        <s v="3457"/>
        <s v="7637"/>
        <s v="3482"/>
        <s v="9905"/>
        <s v="2847"/>
        <s v="282"/>
        <s v="7215"/>
        <s v="682"/>
        <s v="4750"/>
        <s v="5518"/>
        <s v="6116"/>
        <s v="1705"/>
        <s v="4477"/>
        <s v="8656"/>
        <s v="5498"/>
        <s v="8287"/>
        <s v="7342"/>
        <s v="5010"/>
        <s v="673"/>
        <s v="5741"/>
        <s v="9892"/>
        <s v="6954"/>
        <s v="9379"/>
        <s v="3732"/>
        <s v="8614"/>
        <s v="9654"/>
        <s v="4513"/>
        <s v="7884"/>
        <s v="6489"/>
        <s v="4085"/>
        <s v="6457"/>
        <s v="6422"/>
        <s v="8829"/>
        <s v="5559"/>
        <s v="522"/>
        <s v="4660"/>
        <s v="948"/>
        <s v="9389"/>
        <s v="2021"/>
        <s v="7910"/>
        <s v="8156"/>
        <s v="888"/>
        <s v="6267"/>
        <s v="1485"/>
        <s v="5767"/>
        <s v="5367"/>
        <m/>
      </sharedItems>
    </cacheField>
    <cacheField name="Unit Price" numFmtId="0">
      <sharedItems containsBlank="1">
        <s v="255.28"/>
        <s v="205.70"/>
        <s v="651.21"/>
        <s v="9.33"/>
        <s v="668.27"/>
        <s v="154.06"/>
        <s v="81.73"/>
        <s v="109.28"/>
        <s v="437.20"/>
        <s v="47.45"/>
        <s v="421.89"/>
        <s v="152.58"/>
        <m/>
      </sharedItems>
    </cacheField>
    <cacheField name="Unit Cost" numFmtId="0">
      <sharedItems containsBlank="1">
        <s v="159.42"/>
        <s v="117.11"/>
        <s v="524.96"/>
        <s v="6.92"/>
        <s v="502.54"/>
        <s v="90.93"/>
        <s v="56.67"/>
        <s v="35.84"/>
        <s v="263.33"/>
        <s v="31.79"/>
        <s v="364.69"/>
        <s v="97.44"/>
        <m/>
      </sharedItems>
    </cacheField>
    <cacheField name="Total Revenue" numFmtId="4">
      <sharedItems containsString="0" containsBlank="1" containsNumber="1">
        <n v="2533654.0"/>
        <n v="576782.8"/>
        <n v="1158502.59"/>
        <n v="75591.66"/>
        <n v="3296425.02"/>
        <n v="759202.72"/>
        <n v="2798046.49"/>
        <n v="1245112.92"/>
        <n v="496101.1"/>
        <n v="1356180.1"/>
        <n v="19103.44"/>
        <n v="455479.04"/>
        <n v="902980.64"/>
        <n v="5997054.98"/>
        <n v="400558.73"/>
        <n v="182825.44"/>
        <n v="3039414.4"/>
        <n v="257653.5"/>
        <n v="2559474.1"/>
        <n v="2492526.12"/>
        <n v="1901836.0"/>
        <n v="324971.44"/>
        <n v="339490.5"/>
        <n v="20404.71"/>
        <n v="414371.1"/>
        <n v="793518.0"/>
        <n v="50363.34"/>
        <n v="54319.26"/>
        <n v="243133.8"/>
        <n v="1583799.9"/>
        <n v="3786589.2"/>
        <n v="173676.25"/>
        <n v="1904138.04"/>
        <n v="5513227.5"/>
        <n v="1117953.66"/>
        <n v="523807.57"/>
        <n v="35304.72"/>
        <n v="2011149.63"/>
        <n v="4368316.68"/>
        <n v="2596374.27"/>
        <n v="246415.95"/>
        <n v="3162704.8"/>
        <n v="435466.9"/>
        <n v="26344.26"/>
        <n v="648030.4"/>
        <n v="197883.4"/>
        <n v="3876652.4"/>
        <n v="22312.29"/>
        <n v="856973.76"/>
        <n v="824431.86"/>
        <n v="247956.32"/>
        <n v="89623.98"/>
        <n v="835759.1"/>
        <n v="2251232.97"/>
        <n v="71253.21"/>
        <n v="380512.96"/>
        <n v="1082418.4"/>
        <n v="1244708.4"/>
        <n v="188452.14"/>
        <n v="3154398.0"/>
        <n v="140287.4"/>
        <n v="1212580.0"/>
        <n v="3593376.78"/>
        <n v="668356.48"/>
        <n v="745426.0"/>
        <n v="1957344.4"/>
        <n v="707454.88"/>
        <n v="600821.44"/>
        <n v="5396577.27"/>
        <n v="802333.76"/>
        <n v="3262562.1"/>
        <n v="6279.09"/>
        <n v="272410.45"/>
        <n v="1780539.2"/>
        <n v="4324782.4"/>
        <n v="4647149.58"/>
        <n v="445033.55"/>
        <n v="574951.92"/>
        <n v="2198981.92"/>
        <n v="4220728.8"/>
        <n v="3015902.51"/>
        <n v="861563.52"/>
        <n v="2836990.8"/>
        <n v="623289.3"/>
        <n v="994765.42"/>
        <n v="524870.06"/>
        <n v="418936.05"/>
        <n v="1419101.52"/>
        <n v="4870.26"/>
        <n v="221117.0"/>
        <n v="617347.08"/>
        <n v="445508.05"/>
        <n v="1316095.41"/>
        <n v="3458252.0"/>
        <n v="387002.2"/>
        <n v="97040.64"/>
        <n v="58471.11"/>
        <n v="228779.1"/>
        <n v="471336.91"/>
        <n v="3586605.0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0" sheet="Amazon Sales data"/>
  </cacheSource>
  <cacheFields>
    <cacheField name="Region" numFmtId="0">
      <sharedItems containsBlank="1">
        <s v="Australia and Oceania"/>
        <s v="Central America and the Caribbean"/>
        <s v="Europe"/>
        <s v="Sub-Saharan Africa"/>
        <s v="Asia"/>
        <s v="Middle East and North Africa"/>
        <s v="North America"/>
        <m/>
      </sharedItems>
    </cacheField>
    <cacheField name="Country" numFmtId="0">
      <sharedItems containsBlank="1">
        <s v="Tuvalu"/>
        <s v="Grenada"/>
        <s v="Russia"/>
        <s v="Sao Tome and Principe"/>
        <s v="Rwanda"/>
        <s v="Solomon Islands"/>
        <s v="Angola"/>
        <s v="Burkina Faso"/>
        <s v="Republic of the Congo"/>
        <s v="Senegal"/>
        <s v="Kyrgyzstan"/>
        <s v="Cape Verde"/>
        <s v="Bangladesh"/>
        <s v="Honduras"/>
        <s v="Mongolia"/>
        <s v="Bulgaria"/>
        <s v="Sri Lanka"/>
        <s v="Cameroon"/>
        <s v="Turkmenistan"/>
        <s v="East Timor"/>
        <s v="Norway"/>
        <s v="Portugal"/>
        <s v="New Zealand"/>
        <s v="Moldova"/>
        <s v="France"/>
        <s v="Kiribati"/>
        <s v="Mali"/>
        <s v="The Gambia"/>
        <s v="Switzerland"/>
        <s v="South Sudan"/>
        <s v="Australia"/>
        <s v="Myanmar"/>
        <s v="Djibouti"/>
        <s v="Costa Rica"/>
        <s v="Syria"/>
        <s v="Brunei"/>
        <s v="Niger"/>
        <s v="Azerbaijan"/>
        <s v="Slovakia"/>
        <s v="Comoros"/>
        <s v="Iceland"/>
        <s v="Macedonia"/>
        <s v="Mauritania"/>
        <s v="Albania"/>
        <s v="Lesotho"/>
        <s v="Saudi Arabia"/>
        <s v="Sierra Leone"/>
        <s v="Cote d'Ivoire"/>
        <s v="Fiji"/>
        <s v="Austria"/>
        <s v="United Kingdom"/>
        <s v="San Marino"/>
        <s v="Libya"/>
        <s v="Haiti"/>
        <s v="Gabon"/>
        <s v="Belize"/>
        <s v="Lithuania"/>
        <s v="Madagascar"/>
        <s v="Democratic Republic of the Congo"/>
        <s v="Pakistan"/>
        <s v="Mexico"/>
        <s v="Federated States of Micronesia"/>
        <s v="Laos"/>
        <s v="Monaco"/>
        <s v="Samoa"/>
        <s v="Spain"/>
        <s v="Lebanon"/>
        <s v="Iran"/>
        <s v="Zambia"/>
        <s v="Kenya"/>
        <s v="Kuwait"/>
        <s v="Slovenia"/>
        <s v="Romania"/>
        <s v="Nicaragua"/>
        <s v="Malaysia"/>
        <s v="Mozambique"/>
        <m/>
      </sharedItems>
    </cacheField>
    <cacheField name="Item Type" numFmtId="0">
      <sharedItems containsBlank="1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  <m/>
      </sharedItems>
    </cacheField>
    <cacheField name="Sales Channel" numFmtId="0">
      <sharedItems containsBlank="1">
        <s v="Offline"/>
        <s v="Online"/>
        <m/>
      </sharedItems>
    </cacheField>
    <cacheField name="Order Priority" numFmtId="0">
      <sharedItems containsBlank="1">
        <s v="H"/>
        <s v="C"/>
        <s v="L"/>
        <s v="M"/>
        <m/>
      </sharedItems>
    </cacheField>
    <cacheField name="Order Date" numFmtId="0">
      <sharedItems containsBlank="1">
        <s v="5/28/2010"/>
        <s v="8/22/2012"/>
        <s v="5/2/2014"/>
        <s v="6/20/2014"/>
        <s v="2/1/2013"/>
        <s v="2/4/2015"/>
        <s v="4/23/2011"/>
        <s v="7/17/2012"/>
        <s v="7/14/2015"/>
        <s v="4/18/2014"/>
        <s v="6/24/2011"/>
        <s v="8/2/2014"/>
        <s v="1/13/2017"/>
        <s v="2/8/2017"/>
        <s v="2/19/2014"/>
        <s v="4/23/2012"/>
        <s v="11/19/2016"/>
        <s v="4/1/2015"/>
        <s v="12/30/2010"/>
        <s v="7/31/2012"/>
        <s v="5/14/2014"/>
        <s v="7/31/2015"/>
        <s v="6/30/2016"/>
        <s v="9/8/2014"/>
        <s v="5/7/2016"/>
        <s v="5/22/2017"/>
        <s v="10/13/2014"/>
        <s v="5/7/2010"/>
        <s v="7/18/2014"/>
        <s v="5/26/2012"/>
        <s v="9/17/2012"/>
        <s v="12/29/2013"/>
        <s v="10/27/2015"/>
        <s v="1/16/2015"/>
        <s v="2/25/2017"/>
        <s v="5/8/2017"/>
        <s v="11/22/2011"/>
        <s v="1/14/2017"/>
        <s v="4/1/2012"/>
        <s v="2/16/2012"/>
        <s v="3/11/2017"/>
        <s v="2/6/2010"/>
        <s v="6/7/2012"/>
        <s v="10/6/2012"/>
        <s v="11/14/2015"/>
        <s v="3/29/2016"/>
        <s v="12/31/2016"/>
        <s v="12/23/2010"/>
        <s v="10/14/2014"/>
        <s v="1/11/2012"/>
        <s v="2/2/2010"/>
        <s v="8/18/2013"/>
        <s v="3/25/2013"/>
        <s v="11/26/2011"/>
        <s v="9/17/2013"/>
        <s v="6/8/2012"/>
        <s v="6/30/2010"/>
        <s v="2/23/2015"/>
        <s v="1/5/2012"/>
        <s v="4/7/2014"/>
        <s v="6/9/2013"/>
        <s v="6/26/2013"/>
        <s v="11/7/2011"/>
        <s v="10/30/2010"/>
        <s v="10/13/2013"/>
        <s v="10/11/2013"/>
        <s v="7/8/2012"/>
        <s v="7/25/2016"/>
        <s v="10/24/2010"/>
        <s v="4/25/2015"/>
        <s v="4/23/2013"/>
        <s v="8/14/2015"/>
        <s v="5/26/2011"/>
        <s v="5/20/2017"/>
        <s v="7/5/2013"/>
        <s v="11/6/2014"/>
        <s v="10/28/2014"/>
        <s v="9/15/2011"/>
        <s v="5/29/2012"/>
        <s v="7/20/2013"/>
        <s v="10/21/2012"/>
        <s v="9/18/2012"/>
        <s v="11/15/2016"/>
        <s v="1/4/2011"/>
        <s v="3/18/2012"/>
        <s v="2/17/2012"/>
        <s v="1/16/2011"/>
        <s v="2/3/2014"/>
        <s v="4/30/2012"/>
        <s v="10/23/2016"/>
        <s v="12/6/2016"/>
        <s v="7/7/2014"/>
        <s v="6/13/2012"/>
        <s v="11/26/2010"/>
        <s v="2/8/2011"/>
        <s v="7/26/2011"/>
        <s v="11/11/2011"/>
        <s v="6/1/2016"/>
        <s v="7/30/2015"/>
        <s v="2/10/2012"/>
        <m/>
      </sharedItems>
    </cacheField>
    <cacheField name="Month" numFmtId="4">
      <sharedItems containsBlank="1">
        <s v="2010-05"/>
        <s v="2012-08"/>
        <s v="2014-05"/>
        <s v="2014-06"/>
        <s v="2013-02"/>
        <s v="2015-02"/>
        <s v="2011-04"/>
        <s v="2012-07"/>
        <s v="2015-07"/>
        <s v="2014-04"/>
        <s v="2011-06"/>
        <s v="2014-08"/>
        <s v="2017-01"/>
        <s v="2017-02"/>
        <s v="2014-02"/>
        <s v="2012-04"/>
        <s v="2016-11"/>
        <s v="2015-04"/>
        <s v="2010-12"/>
        <s v="2016-06"/>
        <s v="2014-09"/>
        <s v="2016-05"/>
        <s v="2017-05"/>
        <s v="2014-10"/>
        <s v="2014-07"/>
        <s v="2012-05"/>
        <s v="2012-09"/>
        <s v="2013-12"/>
        <s v="2015-10"/>
        <s v="2015-01"/>
        <s v="2011-11"/>
        <s v="2012-02"/>
        <s v="2017-03"/>
        <s v="2010-02"/>
        <s v="2012-06"/>
        <s v="2012-10"/>
        <s v="2015-11"/>
        <s v="2016-03"/>
        <s v="2016-12"/>
        <s v="2012-01"/>
        <s v="2013-08"/>
        <s v="2013-03"/>
        <s v="2013-09"/>
        <s v="2010-06"/>
        <s v="2013-06"/>
        <s v="2010-10"/>
        <s v="2013-10"/>
        <s v="2016-07"/>
        <s v="2013-04"/>
        <s v="2015-08"/>
        <s v="2011-05"/>
        <s v="2013-07"/>
        <s v="2014-11"/>
        <s v="2011-09"/>
        <s v="2011-01"/>
        <s v="2012-03"/>
        <s v="2016-10"/>
        <s v="2010-11"/>
        <s v="2011-02"/>
        <s v="2011-07"/>
        <m/>
      </sharedItems>
    </cacheField>
    <cacheField name="Order ID" numFmtId="0">
      <sharedItems containsBlank="1">
        <s v="669165933"/>
        <s v="963881480"/>
        <s v="341417157"/>
        <s v="514321792"/>
        <s v="115456712"/>
        <s v="547995746"/>
        <s v="135425221"/>
        <s v="871543967"/>
        <s v="770463311"/>
        <s v="616607081"/>
        <s v="814711606"/>
        <s v="939825713"/>
        <s v="187310731"/>
        <s v="522840487"/>
        <s v="832401311"/>
        <s v="972292029"/>
        <s v="419123971"/>
        <s v="519820964"/>
        <s v="441619336"/>
        <s v="322067916"/>
        <s v="819028031"/>
        <s v="860673511"/>
        <s v="795490682"/>
        <s v="142278373"/>
        <s v="740147912"/>
        <s v="898523128"/>
        <s v="347140347"/>
        <s v="686048400"/>
        <s v="435608613"/>
        <s v="886494815"/>
        <s v="249693334"/>
        <s v="406502997"/>
        <s v="158535134"/>
        <s v="177713572"/>
        <s v="756274640"/>
        <s v="456767165"/>
        <s v="162052476"/>
        <s v="825304400"/>
        <s v="320009267"/>
        <s v="189965903"/>
        <s v="699285638"/>
        <s v="382392299"/>
        <s v="994022214"/>
        <s v="759224212"/>
        <s v="223359620"/>
        <s v="902102267"/>
        <s v="331438481"/>
        <s v="617667090"/>
        <s v="787399423"/>
        <s v="837559306"/>
        <s v="385383069"/>
        <s v="918419539"/>
        <s v="844530045"/>
        <s v="441888415"/>
        <s v="508980977"/>
        <s v="114606559"/>
        <s v="647876489"/>
        <s v="868214595"/>
        <s v="955357205"/>
        <s v="259353148"/>
        <s v="450563752"/>
        <s v="569662845"/>
        <s v="177636754"/>
        <s v="705784308"/>
        <s v="505716836"/>
        <s v="699358165"/>
        <s v="228944623"/>
        <s v="807025039"/>
        <s v="166460740"/>
        <s v="610425555"/>
        <s v="462405812"/>
        <s v="816200339"/>
        <s v="585920464"/>
        <s v="555990016"/>
        <s v="231145322"/>
        <s v="986435210"/>
        <s v="217221009"/>
        <s v="789176547"/>
        <s v="688288152"/>
        <s v="670854651"/>
        <s v="213487374"/>
        <s v="663110148"/>
        <s v="286959302"/>
        <s v="122583663"/>
        <s v="827844560"/>
        <s v="430915820"/>
        <s v="180283772"/>
        <s v="494747245"/>
        <s v="513417565"/>
        <s v="345718562"/>
        <s v="621386563"/>
        <s v="240470397"/>
        <s v="423331391"/>
        <s v="660643374"/>
        <s v="963392674"/>
        <s v="512878119"/>
        <s v="810711038"/>
        <s v="728815257"/>
        <s v="559427106"/>
        <s v="665095412"/>
        <m/>
      </sharedItems>
    </cacheField>
    <cacheField name="Ship Date" numFmtId="0">
      <sharedItems containsBlank="1">
        <s v="6/27/2010"/>
        <s v="9/15/2012"/>
        <s v="5/8/2014"/>
        <s v="7/5/2014"/>
        <s v="2/6/2013"/>
        <s v="2/21/2015"/>
        <s v="4/27/2011"/>
        <s v="7/27/2012"/>
        <s v="8/25/2015"/>
        <s v="5/30/2014"/>
        <s v="7/12/2011"/>
        <s v="8/19/2014"/>
        <s v="3/1/2017"/>
        <s v="2/13/2017"/>
        <s v="2/23/2014"/>
        <s v="6/3/2012"/>
        <s v="12/18/2016"/>
        <s v="4/18/2015"/>
        <s v="1/20/2011"/>
        <s v="9/11/2012"/>
        <s v="6/28/2014"/>
        <s v="9/3/2015"/>
        <s v="7/26/2016"/>
        <s v="10/4/2014"/>
        <s v="5/10/2016"/>
        <s v="6/5/2017"/>
        <s v="11/10/2014"/>
        <s v="5/10/2010"/>
        <s v="7/30/2014"/>
        <s v="6/9/2012"/>
        <s v="10/20/2012"/>
        <s v="1/28/2014"/>
        <s v="11/25/2015"/>
        <s v="3/1/2015"/>
        <s v="2/25/2017"/>
        <s v="5/21/2017"/>
        <s v="12/3/2011"/>
        <s v="1/23/2017"/>
        <s v="5/8/2012"/>
        <s v="2/28/2012"/>
        <s v="3/28/2017"/>
        <s v="2/25/2010"/>
        <s v="6/8/2012"/>
        <s v="11/10/2012"/>
        <s v="11/18/2015"/>
        <s v="4/29/2016"/>
        <s v="12/31/2016"/>
        <s v="1/31/2011"/>
        <s v="11/14/2014"/>
        <s v="1/13/2012"/>
        <s v="3/18/2010"/>
        <s v="9/18/2013"/>
        <s v="3/28/2013"/>
        <s v="1/7/2012"/>
        <s v="10/24/2013"/>
        <s v="6/27/2012"/>
        <s v="8/1/2010"/>
        <s v="3/2/2015"/>
        <s v="2/14/2012"/>
        <s v="4/19/2014"/>
        <s v="7/2/2013"/>
        <s v="7/1/2013"/>
        <s v="11/15/2011"/>
        <s v="11/17/2010"/>
        <s v="11/16/2013"/>
        <s v="11/25/2013"/>
        <s v="7/9/2012"/>
        <s v="9/7/2016"/>
        <s v="5/28/2015"/>
        <s v="5/20/2013"/>
        <s v="9/30/2015"/>
        <s v="7/15/2011"/>
        <s v="6/17/2017"/>
        <s v="8/16/2013"/>
        <s v="12/12/2014"/>
        <s v="11/15/2014"/>
        <s v="10/23/2011"/>
        <s v="6/2/2012"/>
        <s v="8/7/2013"/>
        <s v="11/30/2012"/>
        <s v="10/8/2012"/>
        <s v="12/8/2016"/>
        <s v="1/5/2011"/>
        <s v="4/7/2012"/>
        <s v="3/20/2012"/>
        <s v="1/21/2011"/>
        <s v="3/20/2014"/>
        <s v="5/18/2012"/>
        <s v="11/25/2016"/>
        <s v="12/14/2016"/>
        <s v="7/11/2014"/>
        <s v="7/24/2012"/>
        <s v="12/25/2010"/>
        <s v="3/21/2011"/>
        <s v="9/3/2011"/>
        <s v="12/28/2011"/>
        <s v="6/29/2016"/>
        <s v="8/8/2015"/>
        <s v="2/15/2012"/>
        <m/>
      </sharedItems>
    </cacheField>
    <cacheField name="Units Sold" numFmtId="0">
      <sharedItems containsBlank="1">
        <s v="9925"/>
        <s v="2804"/>
        <s v="1779"/>
        <s v="8102"/>
        <s v="5062"/>
        <s v="2974"/>
        <s v="4187"/>
        <s v="8082"/>
        <s v="6070"/>
        <s v="6593"/>
        <s v="124"/>
        <s v="4168"/>
        <s v="8263"/>
        <s v="8974"/>
        <s v="4901"/>
        <s v="1673"/>
        <s v="6952"/>
        <s v="5430"/>
        <s v="3830"/>
        <s v="5908"/>
        <s v="7450"/>
        <s v="1273"/>
        <s v="2225"/>
        <s v="2187"/>
        <s v="5070"/>
        <s v="1815"/>
        <s v="5398"/>
        <s v="5822"/>
        <s v="5124"/>
        <s v="2370"/>
        <s v="8661"/>
        <s v="2125"/>
        <s v="2924"/>
        <s v="8250"/>
        <s v="7327"/>
        <s v="6409"/>
        <s v="3784"/>
        <s v="4767"/>
        <s v="6708"/>
        <s v="3987"/>
        <s v="3015"/>
        <s v="7234"/>
        <s v="2117"/>
        <s v="171"/>
        <s v="5930"/>
        <s v="962"/>
        <s v="8867"/>
        <s v="273"/>
        <s v="7842"/>
        <s v="1266"/>
        <s v="2269"/>
        <s v="9606"/>
        <s v="4063"/>
        <s v="3457"/>
        <s v="7637"/>
        <s v="3482"/>
        <s v="9905"/>
        <s v="2847"/>
        <s v="282"/>
        <s v="7215"/>
        <s v="682"/>
        <s v="4750"/>
        <s v="5518"/>
        <s v="6116"/>
        <s v="1705"/>
        <s v="4477"/>
        <s v="8656"/>
        <s v="5498"/>
        <s v="8287"/>
        <s v="7342"/>
        <s v="5010"/>
        <s v="673"/>
        <s v="5741"/>
        <s v="9892"/>
        <s v="6954"/>
        <s v="9379"/>
        <s v="3732"/>
        <s v="8614"/>
        <s v="9654"/>
        <s v="4513"/>
        <s v="7884"/>
        <s v="6489"/>
        <s v="4085"/>
        <s v="6457"/>
        <s v="6422"/>
        <s v="8829"/>
        <s v="5559"/>
        <s v="522"/>
        <s v="4660"/>
        <s v="948"/>
        <s v="9389"/>
        <s v="2021"/>
        <s v="7910"/>
        <s v="8156"/>
        <s v="888"/>
        <s v="6267"/>
        <s v="1485"/>
        <s v="5767"/>
        <s v="5367"/>
        <m/>
      </sharedItems>
    </cacheField>
    <cacheField name="Unit Price" numFmtId="0">
      <sharedItems containsBlank="1">
        <s v="255.28"/>
        <s v="205.70"/>
        <s v="651.21"/>
        <s v="9.33"/>
        <s v="668.27"/>
        <s v="154.06"/>
        <s v="81.73"/>
        <s v="109.28"/>
        <s v="437.20"/>
        <s v="47.45"/>
        <s v="421.89"/>
        <s v="152.58"/>
        <m/>
      </sharedItems>
    </cacheField>
    <cacheField name="Unit Cost" numFmtId="0">
      <sharedItems containsBlank="1">
        <s v="159.42"/>
        <s v="117.11"/>
        <s v="524.96"/>
        <s v="6.92"/>
        <s v="502.54"/>
        <s v="90.93"/>
        <s v="56.67"/>
        <s v="35.84"/>
        <s v="263.33"/>
        <s v="31.79"/>
        <s v="364.69"/>
        <s v="97.44"/>
        <m/>
      </sharedItems>
    </cacheField>
    <cacheField name="Total Revenue" numFmtId="4">
      <sharedItems containsString="0" containsBlank="1" containsNumber="1">
        <n v="2533654.0"/>
        <n v="576782.8"/>
        <n v="1158502.59"/>
        <n v="75591.66"/>
        <n v="3296425.02"/>
        <n v="759202.72"/>
        <n v="2798046.49"/>
        <n v="1245112.92"/>
        <n v="496101.1"/>
        <n v="1356180.1"/>
        <n v="19103.44"/>
        <n v="455479.04"/>
        <n v="902980.64"/>
        <n v="5997054.98"/>
        <n v="400558.73"/>
        <n v="182825.44"/>
        <n v="3039414.4"/>
        <n v="257653.5"/>
        <n v="2559474.1"/>
        <n v="2492526.12"/>
        <n v="1901836.0"/>
        <n v="324971.44"/>
        <n v="339490.5"/>
        <n v="20404.71"/>
        <n v="414371.1"/>
        <n v="793518.0"/>
        <n v="50363.34"/>
        <n v="54319.26"/>
        <n v="243133.8"/>
        <n v="1583799.9"/>
        <n v="3786589.2"/>
        <n v="173676.25"/>
        <n v="1904138.04"/>
        <n v="5513227.5"/>
        <n v="1117953.66"/>
        <n v="523807.57"/>
        <n v="35304.72"/>
        <n v="2011149.63"/>
        <n v="4368316.68"/>
        <n v="2596374.27"/>
        <n v="246415.95"/>
        <n v="3162704.8"/>
        <n v="435466.9"/>
        <n v="26344.26"/>
        <n v="648030.4"/>
        <n v="197883.4"/>
        <n v="3876652.4"/>
        <n v="22312.29"/>
        <n v="856973.76"/>
        <n v="824431.86"/>
        <n v="247956.32"/>
        <n v="89623.98"/>
        <n v="835759.1"/>
        <n v="2251232.97"/>
        <n v="71253.21"/>
        <n v="380512.96"/>
        <n v="1082418.4"/>
        <n v="1244708.4"/>
        <n v="188452.14"/>
        <n v="3154398.0"/>
        <n v="140287.4"/>
        <n v="1212580.0"/>
        <n v="3593376.78"/>
        <n v="668356.48"/>
        <n v="745426.0"/>
        <n v="1957344.4"/>
        <n v="707454.88"/>
        <n v="600821.44"/>
        <n v="5396577.27"/>
        <n v="802333.76"/>
        <n v="3262562.1"/>
        <n v="6279.09"/>
        <n v="272410.45"/>
        <n v="1780539.2"/>
        <n v="4324782.4"/>
        <n v="4647149.58"/>
        <n v="445033.55"/>
        <n v="574951.92"/>
        <n v="2198981.92"/>
        <n v="4220728.8"/>
        <n v="3015902.51"/>
        <n v="861563.52"/>
        <n v="2836990.8"/>
        <n v="623289.3"/>
        <n v="994765.42"/>
        <n v="524870.06"/>
        <n v="418936.05"/>
        <n v="1419101.52"/>
        <n v="4870.26"/>
        <n v="221117.0"/>
        <n v="617347.08"/>
        <n v="445508.05"/>
        <n v="1316095.41"/>
        <n v="3458252.0"/>
        <n v="387002.2"/>
        <n v="97040.64"/>
        <n v="58471.11"/>
        <n v="228779.1"/>
        <n v="471336.91"/>
        <n v="3586605.09"/>
        <m/>
      </sharedItems>
    </cacheField>
    <cacheField name="Total Cost" numFmtId="0">
      <sharedItems containsBlank="1">
        <s v="1582243.50"/>
        <s v="328376.44"/>
        <s v="933903.84"/>
        <s v="56065.84"/>
        <s v="2657347.52"/>
        <s v="474115.08"/>
        <s v="2104134.98"/>
        <s v="734896.26"/>
        <s v="343986.90"/>
        <s v="772106.23"/>
        <s v="11275.32"/>
        <s v="149381.12"/>
        <s v="296145.92"/>
        <s v="4509793.96"/>
        <s v="277739.67"/>
        <s v="59960.32"/>
        <s v="1830670.16"/>
        <s v="172619.70"/>
        <s v="1924728.20"/>
        <s v="2154588.52"/>
        <s v="1187679.00"/>
        <s v="202941.66"/>
        <s v="216804.00"/>
        <s v="15134.04"/>
        <s v="287316.90"/>
        <s v="477943.95"/>
        <s v="37354.16"/>
        <s v="40288.24"/>
        <s v="162891.96"/>
        <s v="1191019.80"/>
        <s v="2280701.13"/>
        <s v="120423.75"/>
        <s v="1534983.04"/>
        <s v="4145955.00"/>
        <s v="713942.88"/>
        <s v="363198.03"/>
        <s v="26185.28"/>
        <s v="1738477.23"/>
        <s v="3521431.68"/>
        <s v="2093015.52"/>
        <s v="170860.05"/>
        <s v="1904929.22"/>
        <s v="247921.87"/>
        <s v="15549.03"/>
        <s v="212531.20"/>
        <s v="112659.82"/>
        <s v="2334947.11"/>
        <s v="15470.91"/>
        <s v="281057.28"/>
        <s v="664599.36"/>
        <s v="81320.96"/>
        <s v="66473.52"/>
        <s v="475817.93"/>
        <s v="1814786.72"/>
        <s v="52848.04"/>
        <s v="124794.88"/>
        <s v="354995.20"/>
        <s v="749700.51"/>
        <s v="141716.28"/>
        <s v="1899925.95"/>
        <s v="79869.02"/>
        <s v="757245.00"/>
        <s v="2896729.28"/>
        <s v="219197.44"/>
        <s v="448977.65"/>
        <s v="1178928.41"/>
        <s v="490535.52"/>
        <s v="197048.32"/>
        <s v="4350343.52"/>
        <s v="263137.28"/>
        <s v="2630049.60"/>
        <s v="4657.16"/>
        <s v="182506.39"/>
        <s v="1013704.16"/>
        <s v="2604860.36"/>
        <s v="3494663.16"/>
        <s v="298158.41"/>
        <s v="339350.76"/>
        <s v="1373243.88"/>
        <s v="2542187.82"/>
        <s v="2267963.02"/>
        <s v="282562.56"/>
        <s v="1708748.37"/>
        <s v="398042.40"/>
        <s v="587135.01"/>
        <s v="363934.74"/>
        <s v="280673.91"/>
        <s v="886215.78"/>
        <s v="3612.24"/>
        <s v="148141.40"/>
        <s v="497662.08"/>
        <s v="298476.31"/>
        <s v="1060944.16"/>
        <s v="2082940.30"/>
        <s v="259279.24"/>
        <s v="31825.92"/>
        <s v="43367.64"/>
        <s v="135031.05"/>
        <s v="326815.89"/>
        <s v="2697132.18"/>
        <m/>
      </sharedItems>
    </cacheField>
    <cacheField name="Total Profit" numFmtId="0">
      <sharedItems containsBlank="1">
        <s v="951410.50"/>
        <s v="248406.36"/>
        <s v="224598.75"/>
        <s v="19525.82"/>
        <s v="639077.50"/>
        <s v="285087.64"/>
        <s v="693911.51"/>
        <s v="510216.66"/>
        <s v="152114.20"/>
        <s v="584073.87"/>
        <s v="7828.12"/>
        <s v="306097.92"/>
        <s v="606834.72"/>
        <s v="1487261.02"/>
        <s v="122819.06"/>
        <s v="122865.12"/>
        <s v="1208744.24"/>
        <s v="85033.80"/>
        <s v="634745.90"/>
        <s v="337937.60"/>
        <s v="714157.00"/>
        <s v="122029.78"/>
        <s v="122686.50"/>
        <s v="5270.67"/>
        <s v="127054.20"/>
        <s v="315574.05"/>
        <s v="13009.18"/>
        <s v="14031.02"/>
        <s v="80241.84"/>
        <s v="392780.10"/>
        <s v="1505888.07"/>
        <s v="53252.50"/>
        <s v="369155.00"/>
        <s v="1367272.50"/>
        <s v="404010.78"/>
        <s v="160609.54"/>
        <s v="9119.44"/>
        <s v="272672.40"/>
        <s v="846885.00"/>
        <s v="503358.75"/>
        <s v="75555.90"/>
        <s v="1257775.58"/>
        <s v="187545.03"/>
        <s v="10795.23"/>
        <s v="435499.20"/>
        <s v="85223.58"/>
        <s v="1541705.29"/>
        <s v="6841.38"/>
        <s v="575916.48"/>
        <s v="159832.50"/>
        <s v="166635.36"/>
        <s v="23150.46"/>
        <s v="359941.17"/>
        <s v="436446.25"/>
        <s v="18405.17"/>
        <s v="255718.08"/>
        <s v="727423.20"/>
        <s v="495007.89"/>
        <s v="46735.86"/>
        <s v="1254472.05"/>
        <s v="60418.38"/>
        <s v="455335.00"/>
        <s v="696647.50"/>
        <s v="449159.04"/>
        <s v="296448.35"/>
        <s v="778415.99"/>
        <s v="216919.36"/>
        <s v="403773.12"/>
        <s v="1046233.75"/>
        <s v="539196.48"/>
        <s v="632512.50"/>
        <s v="1621.93"/>
        <s v="89904.06"/>
        <s v="766835.04"/>
        <s v="1719922.04"/>
        <s v="1152486.42"/>
        <s v="146875.14"/>
        <s v="235601.16"/>
        <s v="825738.04"/>
        <s v="1678540.98"/>
        <s v="747939.49"/>
        <s v="579000.96"/>
        <s v="1128242.43"/>
        <s v="225246.90"/>
        <s v="407630.41"/>
        <s v="160935.32"/>
        <s v="138262.14"/>
        <s v="532885.74"/>
        <s v="1258.02"/>
        <s v="72975.60"/>
        <s v="119685.00"/>
        <s v="147031.74"/>
        <s v="255151.25"/>
        <s v="1375311.70"/>
        <s v="127722.96"/>
        <s v="65214.72"/>
        <s v="15103.47"/>
        <s v="93748.05"/>
        <s v="144521.02"/>
        <s v="889472.9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" cacheId="0" dataCaption="" rowGrandTotals="0" compact="0" compactData="0">
  <location ref="A1:B9" firstHeaderRow="0" firstDataRow="1" firstDataCol="0"/>
  <pivotFields>
    <pivotField name="Region" axis="axisRow" compact="0" outline="0" multipleItemSelectionAllowed="1" showAll="0" sortType="ascending">
      <items>
        <item x="7"/>
        <item x="4"/>
        <item x="0"/>
        <item x="1"/>
        <item x="2"/>
        <item x="5"/>
        <item x="6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onth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0"/>
  </rowFields>
  <dataFields>
    <dataField name="Total Revenue" fld="12" baseField="0"/>
  </dataFields>
</pivotTableDefinition>
</file>

<file path=xl/pivotTables/pivotTable2.xml><?xml version="1.0" encoding="utf-8"?>
<pivotTableDefinition xmlns="http://schemas.openxmlformats.org/spreadsheetml/2006/main" name="Month" cacheId="1" dataCaption="" compact="0" compactData="0">
  <location ref="A1:B63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onth" axis="axisRow" compact="0" numFmtId="4" outline="0" multipleItemSelectionAllowed="1" showAll="0" sortType="ascending">
      <items>
        <item x="60"/>
        <item x="33"/>
        <item x="0"/>
        <item x="43"/>
        <item x="45"/>
        <item x="57"/>
        <item x="18"/>
        <item x="54"/>
        <item x="58"/>
        <item x="6"/>
        <item x="50"/>
        <item x="10"/>
        <item x="59"/>
        <item x="53"/>
        <item x="30"/>
        <item x="39"/>
        <item x="31"/>
        <item x="55"/>
        <item x="15"/>
        <item x="25"/>
        <item x="34"/>
        <item x="7"/>
        <item x="1"/>
        <item x="26"/>
        <item x="35"/>
        <item x="4"/>
        <item x="41"/>
        <item x="48"/>
        <item x="44"/>
        <item x="51"/>
        <item x="40"/>
        <item x="42"/>
        <item x="46"/>
        <item x="27"/>
        <item x="14"/>
        <item x="9"/>
        <item x="2"/>
        <item x="3"/>
        <item x="24"/>
        <item x="11"/>
        <item x="20"/>
        <item x="23"/>
        <item x="52"/>
        <item x="29"/>
        <item x="5"/>
        <item x="17"/>
        <item x="8"/>
        <item x="49"/>
        <item x="28"/>
        <item x="36"/>
        <item x="37"/>
        <item x="21"/>
        <item x="19"/>
        <item x="47"/>
        <item x="56"/>
        <item x="16"/>
        <item x="38"/>
        <item x="12"/>
        <item x="13"/>
        <item x="32"/>
        <item x="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6"/>
  </rowFields>
  <dataFields>
    <dataField name="Total Revenue" fld="12" baseField="0"/>
  </dataFields>
</pivotTableDefinition>
</file>

<file path=xl/pivotTables/pivotTable3.xml><?xml version="1.0" encoding="utf-8"?>
<pivotTableDefinition xmlns="http://schemas.openxmlformats.org/spreadsheetml/2006/main" name="Item Type" cacheId="0" dataCaption="" rowGrandTotals="0" compact="0" compactData="0">
  <location ref="A1:B14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Item Type" axis="axisRow" compact="0" outline="0" multipleItemSelectionAllowed="1" showAll="0" sortType="ascending">
      <items>
        <item x="12"/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onth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2"/>
  </rowFields>
  <dataFields>
    <dataField name="Total Revenu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4" t="str">
        <f>IFERROR(__xludf.DUMMYFUNCTION("INDEX(SPLIT(F2,""/""),1,3)&amp;""-""&amp;TEXT(INDEX(SPLIT(F2,""/""),1,1),""00"")"),"2010-05")</f>
        <v>2010-05</v>
      </c>
      <c r="H2" s="5" t="s">
        <v>21</v>
      </c>
      <c r="I2" s="1" t="s">
        <v>22</v>
      </c>
      <c r="J2" s="5" t="s">
        <v>23</v>
      </c>
      <c r="K2" s="5" t="s">
        <v>24</v>
      </c>
      <c r="L2" s="5" t="s">
        <v>25</v>
      </c>
      <c r="M2" s="3">
        <v>2533654.0</v>
      </c>
      <c r="N2" s="5" t="s">
        <v>26</v>
      </c>
      <c r="O2" s="5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4" t="str">
        <f>IFERROR(__xludf.DUMMYFUNCTION("INDEX(SPLIT(F3,""/""),1,3)&amp;""-""&amp;TEXT(INDEX(SPLIT(F3,""/""),1,1),""00"")"),"2012-08")</f>
        <v>2012-08</v>
      </c>
      <c r="H3" s="5" t="s">
        <v>34</v>
      </c>
      <c r="I3" s="1" t="s">
        <v>35</v>
      </c>
      <c r="J3" s="5" t="s">
        <v>36</v>
      </c>
      <c r="K3" s="5" t="s">
        <v>37</v>
      </c>
      <c r="L3" s="5" t="s">
        <v>38</v>
      </c>
      <c r="M3" s="3">
        <v>576782.8</v>
      </c>
      <c r="N3" s="5" t="s">
        <v>39</v>
      </c>
      <c r="O3" s="5" t="s">
        <v>40</v>
      </c>
    </row>
    <row r="4">
      <c r="A4" s="1" t="s">
        <v>41</v>
      </c>
      <c r="B4" s="1" t="s">
        <v>42</v>
      </c>
      <c r="C4" s="1" t="s">
        <v>43</v>
      </c>
      <c r="D4" s="1" t="s">
        <v>18</v>
      </c>
      <c r="E4" s="1" t="s">
        <v>44</v>
      </c>
      <c r="F4" s="5" t="s">
        <v>45</v>
      </c>
      <c r="G4" s="4" t="str">
        <f>IFERROR(__xludf.DUMMYFUNCTION("INDEX(SPLIT(F4,""/""),1,3)&amp;""-""&amp;TEXT(INDEX(SPLIT(F4,""/""),1,1),""00"")"),"2014-05")</f>
        <v>2014-05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3">
        <v>1158502.59</v>
      </c>
      <c r="N4" s="5" t="s">
        <v>51</v>
      </c>
      <c r="O4" s="5" t="s">
        <v>52</v>
      </c>
    </row>
    <row r="5">
      <c r="A5" s="1" t="s">
        <v>53</v>
      </c>
      <c r="B5" s="1" t="s">
        <v>54</v>
      </c>
      <c r="C5" s="1" t="s">
        <v>55</v>
      </c>
      <c r="D5" s="1" t="s">
        <v>31</v>
      </c>
      <c r="E5" s="1" t="s">
        <v>32</v>
      </c>
      <c r="F5" s="1" t="s">
        <v>56</v>
      </c>
      <c r="G5" s="4" t="str">
        <f>IFERROR(__xludf.DUMMYFUNCTION("INDEX(SPLIT(F5,""/""),1,3)&amp;""-""&amp;TEXT(INDEX(SPLIT(F5,""/""),1,1),""00"")"),"2014-06")</f>
        <v>2014-06</v>
      </c>
      <c r="H5" s="5" t="s">
        <v>57</v>
      </c>
      <c r="I5" s="5" t="s">
        <v>58</v>
      </c>
      <c r="J5" s="5" t="s">
        <v>59</v>
      </c>
      <c r="K5" s="5" t="s">
        <v>60</v>
      </c>
      <c r="L5" s="5" t="s">
        <v>61</v>
      </c>
      <c r="M5" s="3">
        <v>75591.66</v>
      </c>
      <c r="N5" s="5" t="s">
        <v>62</v>
      </c>
      <c r="O5" s="5" t="s">
        <v>63</v>
      </c>
    </row>
    <row r="6">
      <c r="A6" s="1" t="s">
        <v>53</v>
      </c>
      <c r="B6" s="1" t="s">
        <v>64</v>
      </c>
      <c r="C6" s="1" t="s">
        <v>43</v>
      </c>
      <c r="D6" s="1" t="s">
        <v>18</v>
      </c>
      <c r="E6" s="1" t="s">
        <v>44</v>
      </c>
      <c r="F6" s="5" t="s">
        <v>65</v>
      </c>
      <c r="G6" s="4" t="str">
        <f>IFERROR(__xludf.DUMMYFUNCTION("INDEX(SPLIT(F6,""/""),1,3)&amp;""-""&amp;TEXT(INDEX(SPLIT(F6,""/""),1,1),""00"")"),"2013-02")</f>
        <v>2013-02</v>
      </c>
      <c r="H6" s="5" t="s">
        <v>66</v>
      </c>
      <c r="I6" s="5" t="s">
        <v>67</v>
      </c>
      <c r="J6" s="5" t="s">
        <v>68</v>
      </c>
      <c r="K6" s="5" t="s">
        <v>49</v>
      </c>
      <c r="L6" s="5" t="s">
        <v>50</v>
      </c>
      <c r="M6" s="3">
        <v>3296425.02</v>
      </c>
      <c r="N6" s="5" t="s">
        <v>69</v>
      </c>
      <c r="O6" s="5" t="s">
        <v>70</v>
      </c>
    </row>
    <row r="7">
      <c r="A7" s="1" t="s">
        <v>15</v>
      </c>
      <c r="B7" s="1" t="s">
        <v>71</v>
      </c>
      <c r="C7" s="1" t="s">
        <v>17</v>
      </c>
      <c r="D7" s="1" t="s">
        <v>31</v>
      </c>
      <c r="E7" s="1" t="s">
        <v>32</v>
      </c>
      <c r="F7" s="5" t="s">
        <v>72</v>
      </c>
      <c r="G7" s="4" t="str">
        <f>IFERROR(__xludf.DUMMYFUNCTION("INDEX(SPLIT(F7,""/""),1,3)&amp;""-""&amp;TEXT(INDEX(SPLIT(F7,""/""),1,1),""00"")"),"2015-02")</f>
        <v>2015-02</v>
      </c>
      <c r="H7" s="5" t="s">
        <v>73</v>
      </c>
      <c r="I7" s="1" t="s">
        <v>74</v>
      </c>
      <c r="J7" s="5" t="s">
        <v>75</v>
      </c>
      <c r="K7" s="5" t="s">
        <v>24</v>
      </c>
      <c r="L7" s="5" t="s">
        <v>25</v>
      </c>
      <c r="M7" s="3">
        <v>759202.72</v>
      </c>
      <c r="N7" s="5" t="s">
        <v>76</v>
      </c>
      <c r="O7" s="5" t="s">
        <v>77</v>
      </c>
    </row>
    <row r="8">
      <c r="A8" s="1" t="s">
        <v>53</v>
      </c>
      <c r="B8" s="1" t="s">
        <v>78</v>
      </c>
      <c r="C8" s="1" t="s">
        <v>79</v>
      </c>
      <c r="D8" s="1" t="s">
        <v>18</v>
      </c>
      <c r="E8" s="1" t="s">
        <v>80</v>
      </c>
      <c r="F8" s="1" t="s">
        <v>81</v>
      </c>
      <c r="G8" s="4" t="str">
        <f>IFERROR(__xludf.DUMMYFUNCTION("INDEX(SPLIT(F8,""/""),1,3)&amp;""-""&amp;TEXT(INDEX(SPLIT(F8,""/""),1,1),""00"")"),"2011-04")</f>
        <v>2011-04</v>
      </c>
      <c r="H8" s="5" t="s">
        <v>82</v>
      </c>
      <c r="I8" s="1" t="s">
        <v>83</v>
      </c>
      <c r="J8" s="5" t="s">
        <v>84</v>
      </c>
      <c r="K8" s="5" t="s">
        <v>85</v>
      </c>
      <c r="L8" s="5" t="s">
        <v>86</v>
      </c>
      <c r="M8" s="3">
        <v>2798046.49</v>
      </c>
      <c r="N8" s="5" t="s">
        <v>87</v>
      </c>
      <c r="O8" s="5" t="s">
        <v>88</v>
      </c>
    </row>
    <row r="9">
      <c r="A9" s="1" t="s">
        <v>53</v>
      </c>
      <c r="B9" s="1" t="s">
        <v>89</v>
      </c>
      <c r="C9" s="1" t="s">
        <v>90</v>
      </c>
      <c r="D9" s="1" t="s">
        <v>31</v>
      </c>
      <c r="E9" s="1" t="s">
        <v>19</v>
      </c>
      <c r="F9" s="1" t="s">
        <v>91</v>
      </c>
      <c r="G9" s="4" t="str">
        <f>IFERROR(__xludf.DUMMYFUNCTION("INDEX(SPLIT(F9,""/""),1,3)&amp;""-""&amp;TEXT(INDEX(SPLIT(F9,""/""),1,1),""00"")"),"2012-07")</f>
        <v>2012-07</v>
      </c>
      <c r="H9" s="5" t="s">
        <v>92</v>
      </c>
      <c r="I9" s="1" t="s">
        <v>93</v>
      </c>
      <c r="J9" s="5" t="s">
        <v>94</v>
      </c>
      <c r="K9" s="5" t="s">
        <v>95</v>
      </c>
      <c r="L9" s="5" t="s">
        <v>96</v>
      </c>
      <c r="M9" s="3">
        <v>1245112.92</v>
      </c>
      <c r="N9" s="5" t="s">
        <v>97</v>
      </c>
      <c r="O9" s="5" t="s">
        <v>98</v>
      </c>
    </row>
    <row r="10">
      <c r="A10" s="1" t="s">
        <v>53</v>
      </c>
      <c r="B10" s="1" t="s">
        <v>99</v>
      </c>
      <c r="C10" s="1" t="s">
        <v>100</v>
      </c>
      <c r="D10" s="1" t="s">
        <v>18</v>
      </c>
      <c r="E10" s="1" t="s">
        <v>80</v>
      </c>
      <c r="F10" s="1" t="s">
        <v>101</v>
      </c>
      <c r="G10" s="4" t="str">
        <f>IFERROR(__xludf.DUMMYFUNCTION("INDEX(SPLIT(F10,""/""),1,3)&amp;""-""&amp;TEXT(INDEX(SPLIT(F10,""/""),1,1),""00"")"),"2015-07")</f>
        <v>2015-07</v>
      </c>
      <c r="H10" s="5" t="s">
        <v>102</v>
      </c>
      <c r="I10" s="1" t="s">
        <v>103</v>
      </c>
      <c r="J10" s="5" t="s">
        <v>104</v>
      </c>
      <c r="K10" s="5" t="s">
        <v>105</v>
      </c>
      <c r="L10" s="5" t="s">
        <v>106</v>
      </c>
      <c r="M10" s="3">
        <v>496101.1</v>
      </c>
      <c r="N10" s="5" t="s">
        <v>107</v>
      </c>
      <c r="O10" s="5" t="s">
        <v>108</v>
      </c>
    </row>
    <row r="11">
      <c r="A11" s="1" t="s">
        <v>53</v>
      </c>
      <c r="B11" s="1" t="s">
        <v>109</v>
      </c>
      <c r="C11" s="1" t="s">
        <v>30</v>
      </c>
      <c r="D11" s="1" t="s">
        <v>31</v>
      </c>
      <c r="E11" s="1" t="s">
        <v>19</v>
      </c>
      <c r="F11" s="1" t="s">
        <v>110</v>
      </c>
      <c r="G11" s="4" t="str">
        <f>IFERROR(__xludf.DUMMYFUNCTION("INDEX(SPLIT(F11,""/""),1,3)&amp;""-""&amp;TEXT(INDEX(SPLIT(F11,""/""),1,1),""00"")"),"2014-04")</f>
        <v>2014-04</v>
      </c>
      <c r="H11" s="5" t="s">
        <v>111</v>
      </c>
      <c r="I11" s="1" t="s">
        <v>112</v>
      </c>
      <c r="J11" s="5" t="s">
        <v>113</v>
      </c>
      <c r="K11" s="5" t="s">
        <v>37</v>
      </c>
      <c r="L11" s="5" t="s">
        <v>38</v>
      </c>
      <c r="M11" s="3">
        <v>1356180.1</v>
      </c>
      <c r="N11" s="5" t="s">
        <v>114</v>
      </c>
      <c r="O11" s="5" t="s">
        <v>115</v>
      </c>
    </row>
    <row r="12">
      <c r="A12" s="1" t="s">
        <v>116</v>
      </c>
      <c r="B12" s="1" t="s">
        <v>117</v>
      </c>
      <c r="C12" s="1" t="s">
        <v>90</v>
      </c>
      <c r="D12" s="1" t="s">
        <v>31</v>
      </c>
      <c r="E12" s="1" t="s">
        <v>19</v>
      </c>
      <c r="F12" s="1" t="s">
        <v>118</v>
      </c>
      <c r="G12" s="4" t="str">
        <f>IFERROR(__xludf.DUMMYFUNCTION("INDEX(SPLIT(F12,""/""),1,3)&amp;""-""&amp;TEXT(INDEX(SPLIT(F12,""/""),1,1),""00"")"),"2011-06")</f>
        <v>2011-06</v>
      </c>
      <c r="H12" s="5" t="s">
        <v>119</v>
      </c>
      <c r="I12" s="5" t="s">
        <v>120</v>
      </c>
      <c r="J12" s="5" t="s">
        <v>121</v>
      </c>
      <c r="K12" s="5" t="s">
        <v>95</v>
      </c>
      <c r="L12" s="5" t="s">
        <v>96</v>
      </c>
      <c r="M12" s="3">
        <v>19103.44</v>
      </c>
      <c r="N12" s="5" t="s">
        <v>122</v>
      </c>
      <c r="O12" s="5" t="s">
        <v>123</v>
      </c>
    </row>
    <row r="13">
      <c r="A13" s="1" t="s">
        <v>53</v>
      </c>
      <c r="B13" s="1" t="s">
        <v>124</v>
      </c>
      <c r="C13" s="1" t="s">
        <v>125</v>
      </c>
      <c r="D13" s="1" t="s">
        <v>18</v>
      </c>
      <c r="E13" s="1" t="s">
        <v>19</v>
      </c>
      <c r="F13" s="5" t="s">
        <v>126</v>
      </c>
      <c r="G13" s="4" t="str">
        <f>IFERROR(__xludf.DUMMYFUNCTION("INDEX(SPLIT(F13,""/""),1,3)&amp;""-""&amp;TEXT(INDEX(SPLIT(F13,""/""),1,1),""00"")"),"2014-08")</f>
        <v>2014-08</v>
      </c>
      <c r="H13" s="5" t="s">
        <v>127</v>
      </c>
      <c r="I13" s="1" t="s">
        <v>128</v>
      </c>
      <c r="J13" s="5" t="s">
        <v>129</v>
      </c>
      <c r="K13" s="5" t="s">
        <v>130</v>
      </c>
      <c r="L13" s="5" t="s">
        <v>131</v>
      </c>
      <c r="M13" s="3">
        <v>455479.04</v>
      </c>
      <c r="N13" s="5" t="s">
        <v>132</v>
      </c>
      <c r="O13" s="5" t="s">
        <v>133</v>
      </c>
    </row>
    <row r="14">
      <c r="A14" s="1" t="s">
        <v>116</v>
      </c>
      <c r="B14" s="1" t="s">
        <v>134</v>
      </c>
      <c r="C14" s="1" t="s">
        <v>125</v>
      </c>
      <c r="D14" s="1" t="s">
        <v>31</v>
      </c>
      <c r="E14" s="1" t="s">
        <v>44</v>
      </c>
      <c r="F14" s="1" t="s">
        <v>135</v>
      </c>
      <c r="G14" s="4" t="str">
        <f>IFERROR(__xludf.DUMMYFUNCTION("INDEX(SPLIT(F14,""/""),1,3)&amp;""-""&amp;TEXT(INDEX(SPLIT(F14,""/""),1,1),""00"")"),"2017-01")</f>
        <v>2017-01</v>
      </c>
      <c r="H14" s="5" t="s">
        <v>136</v>
      </c>
      <c r="I14" s="5" t="s">
        <v>137</v>
      </c>
      <c r="J14" s="5" t="s">
        <v>138</v>
      </c>
      <c r="K14" s="5" t="s">
        <v>130</v>
      </c>
      <c r="L14" s="5" t="s">
        <v>131</v>
      </c>
      <c r="M14" s="3">
        <v>902980.64</v>
      </c>
      <c r="N14" s="5" t="s">
        <v>139</v>
      </c>
      <c r="O14" s="5" t="s">
        <v>140</v>
      </c>
    </row>
    <row r="15">
      <c r="A15" s="1" t="s">
        <v>28</v>
      </c>
      <c r="B15" s="1" t="s">
        <v>141</v>
      </c>
      <c r="C15" s="1" t="s">
        <v>79</v>
      </c>
      <c r="D15" s="1" t="s">
        <v>18</v>
      </c>
      <c r="E15" s="1" t="s">
        <v>19</v>
      </c>
      <c r="F15" s="5" t="s">
        <v>142</v>
      </c>
      <c r="G15" s="4" t="str">
        <f>IFERROR(__xludf.DUMMYFUNCTION("INDEX(SPLIT(F15,""/""),1,3)&amp;""-""&amp;TEXT(INDEX(SPLIT(F15,""/""),1,1),""00"")"),"2017-02")</f>
        <v>2017-02</v>
      </c>
      <c r="H15" s="5" t="s">
        <v>143</v>
      </c>
      <c r="I15" s="1" t="s">
        <v>144</v>
      </c>
      <c r="J15" s="5" t="s">
        <v>145</v>
      </c>
      <c r="K15" s="5" t="s">
        <v>85</v>
      </c>
      <c r="L15" s="5" t="s">
        <v>86</v>
      </c>
      <c r="M15" s="3">
        <v>5997054.98</v>
      </c>
      <c r="N15" s="5" t="s">
        <v>146</v>
      </c>
      <c r="O15" s="5" t="s">
        <v>147</v>
      </c>
    </row>
    <row r="16">
      <c r="A16" s="1" t="s">
        <v>116</v>
      </c>
      <c r="B16" s="1" t="s">
        <v>148</v>
      </c>
      <c r="C16" s="1" t="s">
        <v>100</v>
      </c>
      <c r="D16" s="1" t="s">
        <v>18</v>
      </c>
      <c r="E16" s="1" t="s">
        <v>32</v>
      </c>
      <c r="F16" s="1" t="s">
        <v>149</v>
      </c>
      <c r="G16" s="4" t="str">
        <f>IFERROR(__xludf.DUMMYFUNCTION("INDEX(SPLIT(F16,""/""),1,3)&amp;""-""&amp;TEXT(INDEX(SPLIT(F16,""/""),1,1),""00"")"),"2014-02")</f>
        <v>2014-02</v>
      </c>
      <c r="H16" s="5" t="s">
        <v>150</v>
      </c>
      <c r="I16" s="1" t="s">
        <v>151</v>
      </c>
      <c r="J16" s="5" t="s">
        <v>152</v>
      </c>
      <c r="K16" s="5" t="s">
        <v>105</v>
      </c>
      <c r="L16" s="5" t="s">
        <v>106</v>
      </c>
      <c r="M16" s="3">
        <v>400558.73</v>
      </c>
      <c r="N16" s="5" t="s">
        <v>153</v>
      </c>
      <c r="O16" s="5" t="s">
        <v>154</v>
      </c>
    </row>
    <row r="17">
      <c r="A17" s="1" t="s">
        <v>41</v>
      </c>
      <c r="B17" s="1" t="s">
        <v>155</v>
      </c>
      <c r="C17" s="1" t="s">
        <v>125</v>
      </c>
      <c r="D17" s="1" t="s">
        <v>31</v>
      </c>
      <c r="E17" s="1" t="s">
        <v>80</v>
      </c>
      <c r="F17" s="1" t="s">
        <v>156</v>
      </c>
      <c r="G17" s="4" t="str">
        <f>IFERROR(__xludf.DUMMYFUNCTION("INDEX(SPLIT(F17,""/""),1,3)&amp;""-""&amp;TEXT(INDEX(SPLIT(F17,""/""),1,1),""00"")"),"2012-04")</f>
        <v>2012-04</v>
      </c>
      <c r="H17" s="5" t="s">
        <v>157</v>
      </c>
      <c r="I17" s="5" t="s">
        <v>158</v>
      </c>
      <c r="J17" s="5" t="s">
        <v>159</v>
      </c>
      <c r="K17" s="5" t="s">
        <v>130</v>
      </c>
      <c r="L17" s="5" t="s">
        <v>131</v>
      </c>
      <c r="M17" s="3">
        <v>182825.44</v>
      </c>
      <c r="N17" s="5" t="s">
        <v>160</v>
      </c>
      <c r="O17" s="5" t="s">
        <v>161</v>
      </c>
    </row>
    <row r="18">
      <c r="A18" s="1" t="s">
        <v>116</v>
      </c>
      <c r="B18" s="1" t="s">
        <v>162</v>
      </c>
      <c r="C18" s="1" t="s">
        <v>163</v>
      </c>
      <c r="D18" s="1" t="s">
        <v>18</v>
      </c>
      <c r="E18" s="1" t="s">
        <v>80</v>
      </c>
      <c r="F18" s="1" t="s">
        <v>164</v>
      </c>
      <c r="G18" s="4" t="str">
        <f>IFERROR(__xludf.DUMMYFUNCTION("INDEX(SPLIT(F18,""/""),1,3)&amp;""-""&amp;TEXT(INDEX(SPLIT(F18,""/""),1,1),""00"")"),"2016-11")</f>
        <v>2016-11</v>
      </c>
      <c r="H18" s="5" t="s">
        <v>165</v>
      </c>
      <c r="I18" s="1" t="s">
        <v>166</v>
      </c>
      <c r="J18" s="5" t="s">
        <v>167</v>
      </c>
      <c r="K18" s="5" t="s">
        <v>168</v>
      </c>
      <c r="L18" s="5" t="s">
        <v>169</v>
      </c>
      <c r="M18" s="3">
        <v>3039414.4</v>
      </c>
      <c r="N18" s="5" t="s">
        <v>170</v>
      </c>
      <c r="O18" s="5" t="s">
        <v>171</v>
      </c>
    </row>
    <row r="19">
      <c r="A19" s="1" t="s">
        <v>53</v>
      </c>
      <c r="B19" s="1" t="s">
        <v>172</v>
      </c>
      <c r="C19" s="1" t="s">
        <v>173</v>
      </c>
      <c r="D19" s="1" t="s">
        <v>18</v>
      </c>
      <c r="E19" s="1" t="s">
        <v>32</v>
      </c>
      <c r="F19" s="5" t="s">
        <v>174</v>
      </c>
      <c r="G19" s="4" t="str">
        <f>IFERROR(__xludf.DUMMYFUNCTION("INDEX(SPLIT(F19,""/""),1,3)&amp;""-""&amp;TEXT(INDEX(SPLIT(F19,""/""),1,1),""00"")"),"2015-04")</f>
        <v>2015-04</v>
      </c>
      <c r="H19" s="5" t="s">
        <v>175</v>
      </c>
      <c r="I19" s="1" t="s">
        <v>176</v>
      </c>
      <c r="J19" s="5" t="s">
        <v>177</v>
      </c>
      <c r="K19" s="5" t="s">
        <v>178</v>
      </c>
      <c r="L19" s="5" t="s">
        <v>179</v>
      </c>
      <c r="M19" s="3">
        <v>257653.5</v>
      </c>
      <c r="N19" s="5" t="s">
        <v>180</v>
      </c>
      <c r="O19" s="5" t="s">
        <v>181</v>
      </c>
    </row>
    <row r="20">
      <c r="A20" s="1" t="s">
        <v>116</v>
      </c>
      <c r="B20" s="1" t="s">
        <v>182</v>
      </c>
      <c r="C20" s="1" t="s">
        <v>79</v>
      </c>
      <c r="D20" s="1" t="s">
        <v>18</v>
      </c>
      <c r="E20" s="1" t="s">
        <v>44</v>
      </c>
      <c r="F20" s="1" t="s">
        <v>183</v>
      </c>
      <c r="G20" s="4" t="str">
        <f>IFERROR(__xludf.DUMMYFUNCTION("INDEX(SPLIT(F20,""/""),1,3)&amp;""-""&amp;TEXT(INDEX(SPLIT(F20,""/""),1,1),""00"")"),"2010-12")</f>
        <v>2010-12</v>
      </c>
      <c r="H20" s="5" t="s">
        <v>184</v>
      </c>
      <c r="I20" s="1" t="s">
        <v>185</v>
      </c>
      <c r="J20" s="5" t="s">
        <v>186</v>
      </c>
      <c r="K20" s="5" t="s">
        <v>85</v>
      </c>
      <c r="L20" s="5" t="s">
        <v>86</v>
      </c>
      <c r="M20" s="3">
        <v>2559474.1</v>
      </c>
      <c r="N20" s="5" t="s">
        <v>187</v>
      </c>
      <c r="O20" s="5" t="s">
        <v>188</v>
      </c>
    </row>
    <row r="21">
      <c r="A21" s="1" t="s">
        <v>15</v>
      </c>
      <c r="B21" s="1" t="s">
        <v>189</v>
      </c>
      <c r="C21" s="1" t="s">
        <v>190</v>
      </c>
      <c r="D21" s="1" t="s">
        <v>31</v>
      </c>
      <c r="E21" s="1" t="s">
        <v>44</v>
      </c>
      <c r="F21" s="1" t="s">
        <v>191</v>
      </c>
      <c r="G21" s="4" t="str">
        <f>IFERROR(__xludf.DUMMYFUNCTION("INDEX(SPLIT(F21,""/""),1,3)&amp;""-""&amp;TEXT(INDEX(SPLIT(F21,""/""),1,1),""00"")"),"2012-07")</f>
        <v>2012-07</v>
      </c>
      <c r="H21" s="5" t="s">
        <v>192</v>
      </c>
      <c r="I21" s="5" t="s">
        <v>193</v>
      </c>
      <c r="J21" s="5" t="s">
        <v>194</v>
      </c>
      <c r="K21" s="5" t="s">
        <v>195</v>
      </c>
      <c r="L21" s="5" t="s">
        <v>196</v>
      </c>
      <c r="M21" s="3">
        <v>2492526.12</v>
      </c>
      <c r="N21" s="5" t="s">
        <v>197</v>
      </c>
      <c r="O21" s="5" t="s">
        <v>198</v>
      </c>
    </row>
    <row r="22">
      <c r="A22" s="1" t="s">
        <v>41</v>
      </c>
      <c r="B22" s="1" t="s">
        <v>199</v>
      </c>
      <c r="C22" s="1" t="s">
        <v>17</v>
      </c>
      <c r="D22" s="1" t="s">
        <v>31</v>
      </c>
      <c r="E22" s="1" t="s">
        <v>44</v>
      </c>
      <c r="F22" s="1" t="s">
        <v>200</v>
      </c>
      <c r="G22" s="4" t="str">
        <f>IFERROR(__xludf.DUMMYFUNCTION("INDEX(SPLIT(F22,""/""),1,3)&amp;""-""&amp;TEXT(INDEX(SPLIT(F22,""/""),1,1),""00"")"),"2014-05")</f>
        <v>2014-05</v>
      </c>
      <c r="H22" s="5" t="s">
        <v>201</v>
      </c>
      <c r="I22" s="1" t="s">
        <v>202</v>
      </c>
      <c r="J22" s="5" t="s">
        <v>203</v>
      </c>
      <c r="K22" s="5" t="s">
        <v>24</v>
      </c>
      <c r="L22" s="5" t="s">
        <v>25</v>
      </c>
      <c r="M22" s="3">
        <v>1901836.0</v>
      </c>
      <c r="N22" s="5" t="s">
        <v>204</v>
      </c>
      <c r="O22" s="5" t="s">
        <v>205</v>
      </c>
    </row>
    <row r="23">
      <c r="A23" s="1" t="s">
        <v>41</v>
      </c>
      <c r="B23" s="1" t="s">
        <v>206</v>
      </c>
      <c r="C23" s="1" t="s">
        <v>17</v>
      </c>
      <c r="D23" s="1" t="s">
        <v>31</v>
      </c>
      <c r="E23" s="1" t="s">
        <v>19</v>
      </c>
      <c r="F23" s="1" t="s">
        <v>207</v>
      </c>
      <c r="G23" s="4" t="str">
        <f>IFERROR(__xludf.DUMMYFUNCTION("INDEX(SPLIT(F23,""/""),1,3)&amp;""-""&amp;TEXT(INDEX(SPLIT(F23,""/""),1,1),""00"")"),"2015-07")</f>
        <v>2015-07</v>
      </c>
      <c r="H23" s="5" t="s">
        <v>208</v>
      </c>
      <c r="I23" s="5" t="s">
        <v>209</v>
      </c>
      <c r="J23" s="5" t="s">
        <v>210</v>
      </c>
      <c r="K23" s="5" t="s">
        <v>24</v>
      </c>
      <c r="L23" s="5" t="s">
        <v>25</v>
      </c>
      <c r="M23" s="3">
        <v>324971.44</v>
      </c>
      <c r="N23" s="5" t="s">
        <v>211</v>
      </c>
      <c r="O23" s="5" t="s">
        <v>212</v>
      </c>
    </row>
    <row r="24">
      <c r="A24" s="1" t="s">
        <v>28</v>
      </c>
      <c r="B24" s="1" t="s">
        <v>141</v>
      </c>
      <c r="C24" s="1" t="s">
        <v>213</v>
      </c>
      <c r="D24" s="1" t="s">
        <v>31</v>
      </c>
      <c r="E24" s="1" t="s">
        <v>44</v>
      </c>
      <c r="F24" s="1" t="s">
        <v>214</v>
      </c>
      <c r="G24" s="4" t="str">
        <f>IFERROR(__xludf.DUMMYFUNCTION("INDEX(SPLIT(F24,""/""),1,3)&amp;""-""&amp;TEXT(INDEX(SPLIT(F24,""/""),1,1),""00"")"),"2016-06")</f>
        <v>2016-06</v>
      </c>
      <c r="H24" s="5" t="s">
        <v>215</v>
      </c>
      <c r="I24" s="1" t="s">
        <v>216</v>
      </c>
      <c r="J24" s="5" t="s">
        <v>217</v>
      </c>
      <c r="K24" s="5" t="s">
        <v>218</v>
      </c>
      <c r="L24" s="5" t="s">
        <v>219</v>
      </c>
      <c r="M24" s="3">
        <v>339490.5</v>
      </c>
      <c r="N24" s="5" t="s">
        <v>220</v>
      </c>
      <c r="O24" s="5" t="s">
        <v>221</v>
      </c>
    </row>
    <row r="25">
      <c r="A25" s="1" t="s">
        <v>15</v>
      </c>
      <c r="B25" s="1" t="s">
        <v>222</v>
      </c>
      <c r="C25" s="1" t="s">
        <v>55</v>
      </c>
      <c r="D25" s="1" t="s">
        <v>31</v>
      </c>
      <c r="E25" s="1" t="s">
        <v>19</v>
      </c>
      <c r="F25" s="5" t="s">
        <v>223</v>
      </c>
      <c r="G25" s="4" t="str">
        <f>IFERROR(__xludf.DUMMYFUNCTION("INDEX(SPLIT(F25,""/""),1,3)&amp;""-""&amp;TEXT(INDEX(SPLIT(F25,""/""),1,1),""00"")"),"2014-09")</f>
        <v>2014-09</v>
      </c>
      <c r="H25" s="5" t="s">
        <v>224</v>
      </c>
      <c r="I25" s="5" t="s">
        <v>225</v>
      </c>
      <c r="J25" s="5" t="s">
        <v>226</v>
      </c>
      <c r="K25" s="5" t="s">
        <v>60</v>
      </c>
      <c r="L25" s="5" t="s">
        <v>61</v>
      </c>
      <c r="M25" s="3">
        <v>20404.71</v>
      </c>
      <c r="N25" s="5" t="s">
        <v>227</v>
      </c>
      <c r="O25" s="5" t="s">
        <v>228</v>
      </c>
    </row>
    <row r="26">
      <c r="A26" s="1" t="s">
        <v>41</v>
      </c>
      <c r="B26" s="1" t="s">
        <v>229</v>
      </c>
      <c r="C26" s="1" t="s">
        <v>100</v>
      </c>
      <c r="D26" s="1" t="s">
        <v>31</v>
      </c>
      <c r="E26" s="1" t="s">
        <v>44</v>
      </c>
      <c r="F26" s="5" t="s">
        <v>230</v>
      </c>
      <c r="G26" s="4" t="str">
        <f>IFERROR(__xludf.DUMMYFUNCTION("INDEX(SPLIT(F26,""/""),1,3)&amp;""-""&amp;TEXT(INDEX(SPLIT(F26,""/""),1,1),""00"")"),"2016-05")</f>
        <v>2016-05</v>
      </c>
      <c r="H26" s="5" t="s">
        <v>231</v>
      </c>
      <c r="I26" s="5" t="s">
        <v>232</v>
      </c>
      <c r="J26" s="5" t="s">
        <v>233</v>
      </c>
      <c r="K26" s="5" t="s">
        <v>105</v>
      </c>
      <c r="L26" s="5" t="s">
        <v>106</v>
      </c>
      <c r="M26" s="3">
        <v>414371.1</v>
      </c>
      <c r="N26" s="5" t="s">
        <v>234</v>
      </c>
      <c r="O26" s="5" t="s">
        <v>235</v>
      </c>
    </row>
    <row r="27">
      <c r="A27" s="1" t="s">
        <v>41</v>
      </c>
      <c r="B27" s="1" t="s">
        <v>236</v>
      </c>
      <c r="C27" s="1" t="s">
        <v>163</v>
      </c>
      <c r="D27" s="1" t="s">
        <v>31</v>
      </c>
      <c r="E27" s="1" t="s">
        <v>19</v>
      </c>
      <c r="F27" s="1" t="s">
        <v>237</v>
      </c>
      <c r="G27" s="4" t="str">
        <f>IFERROR(__xludf.DUMMYFUNCTION("INDEX(SPLIT(F27,""/""),1,3)&amp;""-""&amp;TEXT(INDEX(SPLIT(F27,""/""),1,1),""00"")"),"2017-05")</f>
        <v>2017-05</v>
      </c>
      <c r="H27" s="5" t="s">
        <v>238</v>
      </c>
      <c r="I27" s="5" t="s">
        <v>239</v>
      </c>
      <c r="J27" s="5" t="s">
        <v>240</v>
      </c>
      <c r="K27" s="5" t="s">
        <v>168</v>
      </c>
      <c r="L27" s="5" t="s">
        <v>169</v>
      </c>
      <c r="M27" s="3">
        <v>793518.0</v>
      </c>
      <c r="N27" s="5" t="s">
        <v>241</v>
      </c>
      <c r="O27" s="5" t="s">
        <v>242</v>
      </c>
    </row>
    <row r="28">
      <c r="A28" s="1" t="s">
        <v>15</v>
      </c>
      <c r="B28" s="1" t="s">
        <v>243</v>
      </c>
      <c r="C28" s="1" t="s">
        <v>55</v>
      </c>
      <c r="D28" s="1" t="s">
        <v>31</v>
      </c>
      <c r="E28" s="1" t="s">
        <v>80</v>
      </c>
      <c r="F28" s="1" t="s">
        <v>244</v>
      </c>
      <c r="G28" s="4" t="str">
        <f>IFERROR(__xludf.DUMMYFUNCTION("INDEX(SPLIT(F28,""/""),1,3)&amp;""-""&amp;TEXT(INDEX(SPLIT(F28,""/""),1,1),""00"")"),"2014-10")</f>
        <v>2014-10</v>
      </c>
      <c r="H28" s="5" t="s">
        <v>245</v>
      </c>
      <c r="I28" s="5" t="s">
        <v>246</v>
      </c>
      <c r="J28" s="5" t="s">
        <v>247</v>
      </c>
      <c r="K28" s="5" t="s">
        <v>60</v>
      </c>
      <c r="L28" s="5" t="s">
        <v>61</v>
      </c>
      <c r="M28" s="3">
        <v>50363.34</v>
      </c>
      <c r="N28" s="5" t="s">
        <v>248</v>
      </c>
      <c r="O28" s="5" t="s">
        <v>249</v>
      </c>
    </row>
    <row r="29">
      <c r="A29" s="1" t="s">
        <v>53</v>
      </c>
      <c r="B29" s="1" t="s">
        <v>250</v>
      </c>
      <c r="C29" s="1" t="s">
        <v>55</v>
      </c>
      <c r="D29" s="1" t="s">
        <v>31</v>
      </c>
      <c r="E29" s="1" t="s">
        <v>44</v>
      </c>
      <c r="F29" s="5" t="s">
        <v>251</v>
      </c>
      <c r="G29" s="4" t="str">
        <f>IFERROR(__xludf.DUMMYFUNCTION("INDEX(SPLIT(F29,""/""),1,3)&amp;""-""&amp;TEXT(INDEX(SPLIT(F29,""/""),1,1),""00"")"),"2010-05")</f>
        <v>2010-05</v>
      </c>
      <c r="H29" s="5" t="s">
        <v>252</v>
      </c>
      <c r="I29" s="5" t="s">
        <v>253</v>
      </c>
      <c r="J29" s="5" t="s">
        <v>254</v>
      </c>
      <c r="K29" s="5" t="s">
        <v>60</v>
      </c>
      <c r="L29" s="5" t="s">
        <v>61</v>
      </c>
      <c r="M29" s="3">
        <v>54319.26</v>
      </c>
      <c r="N29" s="5" t="s">
        <v>255</v>
      </c>
      <c r="O29" s="5" t="s">
        <v>256</v>
      </c>
    </row>
    <row r="30">
      <c r="A30" s="1" t="s">
        <v>41</v>
      </c>
      <c r="B30" s="1" t="s">
        <v>199</v>
      </c>
      <c r="C30" s="1" t="s">
        <v>173</v>
      </c>
      <c r="D30" s="1" t="s">
        <v>18</v>
      </c>
      <c r="E30" s="1" t="s">
        <v>32</v>
      </c>
      <c r="F30" s="1" t="s">
        <v>257</v>
      </c>
      <c r="G30" s="4" t="str">
        <f>IFERROR(__xludf.DUMMYFUNCTION("INDEX(SPLIT(F30,""/""),1,3)&amp;""-""&amp;TEXT(INDEX(SPLIT(F30,""/""),1,1),""00"")"),"2014-07")</f>
        <v>2014-07</v>
      </c>
      <c r="H30" s="5" t="s">
        <v>258</v>
      </c>
      <c r="I30" s="1" t="s">
        <v>259</v>
      </c>
      <c r="J30" s="5" t="s">
        <v>260</v>
      </c>
      <c r="K30" s="5" t="s">
        <v>178</v>
      </c>
      <c r="L30" s="5" t="s">
        <v>179</v>
      </c>
      <c r="M30" s="3">
        <v>243133.8</v>
      </c>
      <c r="N30" s="5" t="s">
        <v>261</v>
      </c>
      <c r="O30" s="5" t="s">
        <v>262</v>
      </c>
    </row>
    <row r="31">
      <c r="A31" s="1" t="s">
        <v>53</v>
      </c>
      <c r="B31" s="1" t="s">
        <v>263</v>
      </c>
      <c r="C31" s="1" t="s">
        <v>79</v>
      </c>
      <c r="D31" s="1" t="s">
        <v>18</v>
      </c>
      <c r="E31" s="1" t="s">
        <v>44</v>
      </c>
      <c r="F31" s="1" t="s">
        <v>264</v>
      </c>
      <c r="G31" s="4" t="str">
        <f>IFERROR(__xludf.DUMMYFUNCTION("INDEX(SPLIT(F31,""/""),1,3)&amp;""-""&amp;TEXT(INDEX(SPLIT(F31,""/""),1,1),""00"")"),"2012-05")</f>
        <v>2012-05</v>
      </c>
      <c r="H31" s="5" t="s">
        <v>265</v>
      </c>
      <c r="I31" s="5" t="s">
        <v>266</v>
      </c>
      <c r="J31" s="5" t="s">
        <v>267</v>
      </c>
      <c r="K31" s="5" t="s">
        <v>85</v>
      </c>
      <c r="L31" s="5" t="s">
        <v>86</v>
      </c>
      <c r="M31" s="3">
        <v>1583799.9</v>
      </c>
      <c r="N31" s="5" t="s">
        <v>268</v>
      </c>
      <c r="O31" s="5" t="s">
        <v>269</v>
      </c>
    </row>
    <row r="32">
      <c r="A32" s="1" t="s">
        <v>41</v>
      </c>
      <c r="B32" s="1" t="s">
        <v>270</v>
      </c>
      <c r="C32" s="1" t="s">
        <v>163</v>
      </c>
      <c r="D32" s="1" t="s">
        <v>18</v>
      </c>
      <c r="E32" s="1" t="s">
        <v>80</v>
      </c>
      <c r="F32" s="1" t="s">
        <v>271</v>
      </c>
      <c r="G32" s="4" t="str">
        <f>IFERROR(__xludf.DUMMYFUNCTION("INDEX(SPLIT(F32,""/""),1,3)&amp;""-""&amp;TEXT(INDEX(SPLIT(F32,""/""),1,1),""00"")"),"2012-09")</f>
        <v>2012-09</v>
      </c>
      <c r="H32" s="5" t="s">
        <v>272</v>
      </c>
      <c r="I32" s="1" t="s">
        <v>273</v>
      </c>
      <c r="J32" s="5" t="s">
        <v>274</v>
      </c>
      <c r="K32" s="5" t="s">
        <v>168</v>
      </c>
      <c r="L32" s="5" t="s">
        <v>169</v>
      </c>
      <c r="M32" s="3">
        <v>3786589.2</v>
      </c>
      <c r="N32" s="5" t="s">
        <v>275</v>
      </c>
      <c r="O32" s="5" t="s">
        <v>276</v>
      </c>
    </row>
    <row r="33">
      <c r="A33" s="1" t="s">
        <v>53</v>
      </c>
      <c r="B33" s="1" t="s">
        <v>277</v>
      </c>
      <c r="C33" s="1" t="s">
        <v>100</v>
      </c>
      <c r="D33" s="1" t="s">
        <v>18</v>
      </c>
      <c r="E33" s="1" t="s">
        <v>32</v>
      </c>
      <c r="F33" s="1" t="s">
        <v>278</v>
      </c>
      <c r="G33" s="4" t="str">
        <f>IFERROR(__xludf.DUMMYFUNCTION("INDEX(SPLIT(F33,""/""),1,3)&amp;""-""&amp;TEXT(INDEX(SPLIT(F33,""/""),1,1),""00"")"),"2013-12")</f>
        <v>2013-12</v>
      </c>
      <c r="H33" s="5" t="s">
        <v>279</v>
      </c>
      <c r="I33" s="1" t="s">
        <v>280</v>
      </c>
      <c r="J33" s="5" t="s">
        <v>281</v>
      </c>
      <c r="K33" s="5" t="s">
        <v>105</v>
      </c>
      <c r="L33" s="5" t="s">
        <v>106</v>
      </c>
      <c r="M33" s="3">
        <v>173676.25</v>
      </c>
      <c r="N33" s="5" t="s">
        <v>282</v>
      </c>
      <c r="O33" s="5" t="s">
        <v>283</v>
      </c>
    </row>
    <row r="34">
      <c r="A34" s="1" t="s">
        <v>15</v>
      </c>
      <c r="B34" s="1" t="s">
        <v>284</v>
      </c>
      <c r="C34" s="1" t="s">
        <v>43</v>
      </c>
      <c r="D34" s="1" t="s">
        <v>31</v>
      </c>
      <c r="E34" s="1" t="s">
        <v>32</v>
      </c>
      <c r="F34" s="1" t="s">
        <v>285</v>
      </c>
      <c r="G34" s="4" t="str">
        <f>IFERROR(__xludf.DUMMYFUNCTION("INDEX(SPLIT(F34,""/""),1,3)&amp;""-""&amp;TEXT(INDEX(SPLIT(F34,""/""),1,1),""00"")"),"2015-10")</f>
        <v>2015-10</v>
      </c>
      <c r="H34" s="5" t="s">
        <v>286</v>
      </c>
      <c r="I34" s="1" t="s">
        <v>287</v>
      </c>
      <c r="J34" s="5" t="s">
        <v>288</v>
      </c>
      <c r="K34" s="5" t="s">
        <v>49</v>
      </c>
      <c r="L34" s="5" t="s">
        <v>50</v>
      </c>
      <c r="M34" s="3">
        <v>1904138.04</v>
      </c>
      <c r="N34" s="5" t="s">
        <v>289</v>
      </c>
      <c r="O34" s="5" t="s">
        <v>290</v>
      </c>
    </row>
    <row r="35">
      <c r="A35" s="1" t="s">
        <v>116</v>
      </c>
      <c r="B35" s="1" t="s">
        <v>291</v>
      </c>
      <c r="C35" s="1" t="s">
        <v>79</v>
      </c>
      <c r="D35" s="1" t="s">
        <v>18</v>
      </c>
      <c r="E35" s="1" t="s">
        <v>19</v>
      </c>
      <c r="F35" s="1" t="s">
        <v>292</v>
      </c>
      <c r="G35" s="4" t="str">
        <f>IFERROR(__xludf.DUMMYFUNCTION("INDEX(SPLIT(F35,""/""),1,3)&amp;""-""&amp;TEXT(INDEX(SPLIT(F35,""/""),1,1),""00"")"),"2015-01")</f>
        <v>2015-01</v>
      </c>
      <c r="H35" s="5" t="s">
        <v>293</v>
      </c>
      <c r="I35" s="5" t="s">
        <v>294</v>
      </c>
      <c r="J35" s="5" t="s">
        <v>295</v>
      </c>
      <c r="K35" s="5" t="s">
        <v>85</v>
      </c>
      <c r="L35" s="5" t="s">
        <v>86</v>
      </c>
      <c r="M35" s="3">
        <v>5513227.5</v>
      </c>
      <c r="N35" s="5" t="s">
        <v>296</v>
      </c>
      <c r="O35" s="5" t="s">
        <v>297</v>
      </c>
    </row>
    <row r="36">
      <c r="A36" s="1" t="s">
        <v>53</v>
      </c>
      <c r="B36" s="1" t="s">
        <v>298</v>
      </c>
      <c r="C36" s="1" t="s">
        <v>213</v>
      </c>
      <c r="D36" s="1" t="s">
        <v>31</v>
      </c>
      <c r="E36" s="1" t="s">
        <v>80</v>
      </c>
      <c r="F36" s="1" t="s">
        <v>299</v>
      </c>
      <c r="G36" s="4" t="str">
        <f>IFERROR(__xludf.DUMMYFUNCTION("INDEX(SPLIT(F36,""/""),1,3)&amp;""-""&amp;TEXT(INDEX(SPLIT(F36,""/""),1,1),""00"")"),"2017-02")</f>
        <v>2017-02</v>
      </c>
      <c r="H36" s="5" t="s">
        <v>300</v>
      </c>
      <c r="I36" s="1" t="s">
        <v>299</v>
      </c>
      <c r="J36" s="5" t="s">
        <v>301</v>
      </c>
      <c r="K36" s="5" t="s">
        <v>218</v>
      </c>
      <c r="L36" s="5" t="s">
        <v>219</v>
      </c>
      <c r="M36" s="3">
        <v>1117953.66</v>
      </c>
      <c r="N36" s="5" t="s">
        <v>302</v>
      </c>
      <c r="O36" s="5" t="s">
        <v>303</v>
      </c>
    </row>
    <row r="37">
      <c r="A37" s="1" t="s">
        <v>28</v>
      </c>
      <c r="B37" s="1" t="s">
        <v>304</v>
      </c>
      <c r="C37" s="1" t="s">
        <v>100</v>
      </c>
      <c r="D37" s="1" t="s">
        <v>18</v>
      </c>
      <c r="E37" s="1" t="s">
        <v>44</v>
      </c>
      <c r="F37" s="5" t="s">
        <v>305</v>
      </c>
      <c r="G37" s="4" t="str">
        <f>IFERROR(__xludf.DUMMYFUNCTION("INDEX(SPLIT(F37,""/""),1,3)&amp;""-""&amp;TEXT(INDEX(SPLIT(F37,""/""),1,1),""00"")"),"2017-05")</f>
        <v>2017-05</v>
      </c>
      <c r="H37" s="5" t="s">
        <v>306</v>
      </c>
      <c r="I37" s="1" t="s">
        <v>307</v>
      </c>
      <c r="J37" s="5" t="s">
        <v>308</v>
      </c>
      <c r="K37" s="5" t="s">
        <v>105</v>
      </c>
      <c r="L37" s="5" t="s">
        <v>106</v>
      </c>
      <c r="M37" s="3">
        <v>523807.57</v>
      </c>
      <c r="N37" s="5" t="s">
        <v>309</v>
      </c>
      <c r="O37" s="5" t="s">
        <v>310</v>
      </c>
    </row>
    <row r="38">
      <c r="A38" s="1" t="s">
        <v>311</v>
      </c>
      <c r="B38" s="1" t="s">
        <v>312</v>
      </c>
      <c r="C38" s="1" t="s">
        <v>55</v>
      </c>
      <c r="D38" s="1" t="s">
        <v>31</v>
      </c>
      <c r="E38" s="1" t="s">
        <v>44</v>
      </c>
      <c r="F38" s="1" t="s">
        <v>313</v>
      </c>
      <c r="G38" s="4" t="str">
        <f>IFERROR(__xludf.DUMMYFUNCTION("INDEX(SPLIT(F38,""/""),1,3)&amp;""-""&amp;TEXT(INDEX(SPLIT(F38,""/""),1,1),""00"")"),"2011-11")</f>
        <v>2011-11</v>
      </c>
      <c r="H38" s="5" t="s">
        <v>314</v>
      </c>
      <c r="I38" s="5" t="s">
        <v>315</v>
      </c>
      <c r="J38" s="5" t="s">
        <v>316</v>
      </c>
      <c r="K38" s="5" t="s">
        <v>60</v>
      </c>
      <c r="L38" s="5" t="s">
        <v>61</v>
      </c>
      <c r="M38" s="3">
        <v>35304.72</v>
      </c>
      <c r="N38" s="5" t="s">
        <v>317</v>
      </c>
      <c r="O38" s="5" t="s">
        <v>318</v>
      </c>
    </row>
    <row r="39">
      <c r="A39" s="1" t="s">
        <v>53</v>
      </c>
      <c r="B39" s="1" t="s">
        <v>263</v>
      </c>
      <c r="C39" s="1" t="s">
        <v>190</v>
      </c>
      <c r="D39" s="1" t="s">
        <v>31</v>
      </c>
      <c r="E39" s="1" t="s">
        <v>80</v>
      </c>
      <c r="F39" s="1" t="s">
        <v>319</v>
      </c>
      <c r="G39" s="4" t="str">
        <f>IFERROR(__xludf.DUMMYFUNCTION("INDEX(SPLIT(F39,""/""),1,3)&amp;""-""&amp;TEXT(INDEX(SPLIT(F39,""/""),1,1),""00"")"),"2017-01")</f>
        <v>2017-01</v>
      </c>
      <c r="H39" s="5" t="s">
        <v>320</v>
      </c>
      <c r="I39" s="1" t="s">
        <v>321</v>
      </c>
      <c r="J39" s="5" t="s">
        <v>322</v>
      </c>
      <c r="K39" s="5" t="s">
        <v>195</v>
      </c>
      <c r="L39" s="5" t="s">
        <v>196</v>
      </c>
      <c r="M39" s="3">
        <v>2011149.63</v>
      </c>
      <c r="N39" s="5" t="s">
        <v>323</v>
      </c>
      <c r="O39" s="5" t="s">
        <v>324</v>
      </c>
    </row>
    <row r="40">
      <c r="A40" s="1" t="s">
        <v>116</v>
      </c>
      <c r="B40" s="1" t="s">
        <v>325</v>
      </c>
      <c r="C40" s="1" t="s">
        <v>43</v>
      </c>
      <c r="D40" s="1" t="s">
        <v>31</v>
      </c>
      <c r="E40" s="1" t="s">
        <v>44</v>
      </c>
      <c r="F40" s="5" t="s">
        <v>326</v>
      </c>
      <c r="G40" s="4" t="str">
        <f>IFERROR(__xludf.DUMMYFUNCTION("INDEX(SPLIT(F40,""/""),1,3)&amp;""-""&amp;TEXT(INDEX(SPLIT(F40,""/""),1,1),""00"")"),"2012-04")</f>
        <v>2012-04</v>
      </c>
      <c r="H40" s="5" t="s">
        <v>327</v>
      </c>
      <c r="I40" s="5" t="s">
        <v>328</v>
      </c>
      <c r="J40" s="5" t="s">
        <v>329</v>
      </c>
      <c r="K40" s="5" t="s">
        <v>49</v>
      </c>
      <c r="L40" s="5" t="s">
        <v>50</v>
      </c>
      <c r="M40" s="3">
        <v>4368316.68</v>
      </c>
      <c r="N40" s="5" t="s">
        <v>330</v>
      </c>
      <c r="O40" s="5" t="s">
        <v>331</v>
      </c>
    </row>
    <row r="41">
      <c r="A41" s="1" t="s">
        <v>41</v>
      </c>
      <c r="B41" s="1" t="s">
        <v>155</v>
      </c>
      <c r="C41" s="1" t="s">
        <v>43</v>
      </c>
      <c r="D41" s="1" t="s">
        <v>31</v>
      </c>
      <c r="E41" s="1" t="s">
        <v>80</v>
      </c>
      <c r="F41" s="1" t="s">
        <v>332</v>
      </c>
      <c r="G41" s="4" t="str">
        <f>IFERROR(__xludf.DUMMYFUNCTION("INDEX(SPLIT(F41,""/""),1,3)&amp;""-""&amp;TEXT(INDEX(SPLIT(F41,""/""),1,1),""00"")"),"2012-02")</f>
        <v>2012-02</v>
      </c>
      <c r="H41" s="5" t="s">
        <v>333</v>
      </c>
      <c r="I41" s="1" t="s">
        <v>334</v>
      </c>
      <c r="J41" s="5" t="s">
        <v>335</v>
      </c>
      <c r="K41" s="5" t="s">
        <v>49</v>
      </c>
      <c r="L41" s="5" t="s">
        <v>50</v>
      </c>
      <c r="M41" s="3">
        <v>2596374.27</v>
      </c>
      <c r="N41" s="5" t="s">
        <v>336</v>
      </c>
      <c r="O41" s="5" t="s">
        <v>337</v>
      </c>
    </row>
    <row r="42">
      <c r="A42" s="1" t="s">
        <v>53</v>
      </c>
      <c r="B42" s="1" t="s">
        <v>338</v>
      </c>
      <c r="C42" s="1" t="s">
        <v>100</v>
      </c>
      <c r="D42" s="1" t="s">
        <v>31</v>
      </c>
      <c r="E42" s="1" t="s">
        <v>19</v>
      </c>
      <c r="F42" s="5" t="s">
        <v>339</v>
      </c>
      <c r="G42" s="4" t="str">
        <f>IFERROR(__xludf.DUMMYFUNCTION("INDEX(SPLIT(F42,""/""),1,3)&amp;""-""&amp;TEXT(INDEX(SPLIT(F42,""/""),1,1),""00"")"),"2017-03")</f>
        <v>2017-03</v>
      </c>
      <c r="H42" s="5" t="s">
        <v>340</v>
      </c>
      <c r="I42" s="1" t="s">
        <v>341</v>
      </c>
      <c r="J42" s="5" t="s">
        <v>342</v>
      </c>
      <c r="K42" s="5" t="s">
        <v>105</v>
      </c>
      <c r="L42" s="5" t="s">
        <v>106</v>
      </c>
      <c r="M42" s="3">
        <v>246415.95</v>
      </c>
      <c r="N42" s="5" t="s">
        <v>343</v>
      </c>
      <c r="O42" s="5" t="s">
        <v>344</v>
      </c>
    </row>
    <row r="43">
      <c r="A43" s="1" t="s">
        <v>311</v>
      </c>
      <c r="B43" s="1" t="s">
        <v>345</v>
      </c>
      <c r="C43" s="1" t="s">
        <v>163</v>
      </c>
      <c r="D43" s="1" t="s">
        <v>31</v>
      </c>
      <c r="E43" s="1" t="s">
        <v>80</v>
      </c>
      <c r="F43" s="5" t="s">
        <v>346</v>
      </c>
      <c r="G43" s="4" t="str">
        <f>IFERROR(__xludf.DUMMYFUNCTION("INDEX(SPLIT(F43,""/""),1,3)&amp;""-""&amp;TEXT(INDEX(SPLIT(F43,""/""),1,1),""00"")"),"2010-02")</f>
        <v>2010-02</v>
      </c>
      <c r="H43" s="5" t="s">
        <v>347</v>
      </c>
      <c r="I43" s="1" t="s">
        <v>348</v>
      </c>
      <c r="J43" s="5" t="s">
        <v>349</v>
      </c>
      <c r="K43" s="5" t="s">
        <v>168</v>
      </c>
      <c r="L43" s="5" t="s">
        <v>169</v>
      </c>
      <c r="M43" s="3">
        <v>3162704.8</v>
      </c>
      <c r="N43" s="5" t="s">
        <v>350</v>
      </c>
      <c r="O43" s="5" t="s">
        <v>351</v>
      </c>
    </row>
    <row r="44">
      <c r="A44" s="1" t="s">
        <v>53</v>
      </c>
      <c r="B44" s="1" t="s">
        <v>263</v>
      </c>
      <c r="C44" s="1" t="s">
        <v>30</v>
      </c>
      <c r="D44" s="1" t="s">
        <v>18</v>
      </c>
      <c r="E44" s="1" t="s">
        <v>19</v>
      </c>
      <c r="F44" s="5" t="s">
        <v>352</v>
      </c>
      <c r="G44" s="4" t="str">
        <f>IFERROR(__xludf.DUMMYFUNCTION("INDEX(SPLIT(F44,""/""),1,3)&amp;""-""&amp;TEXT(INDEX(SPLIT(F44,""/""),1,1),""00"")"),"2012-06")</f>
        <v>2012-06</v>
      </c>
      <c r="H44" s="5" t="s">
        <v>353</v>
      </c>
      <c r="I44" s="5" t="s">
        <v>354</v>
      </c>
      <c r="J44" s="5" t="s">
        <v>355</v>
      </c>
      <c r="K44" s="5" t="s">
        <v>37</v>
      </c>
      <c r="L44" s="5" t="s">
        <v>38</v>
      </c>
      <c r="M44" s="3">
        <v>435466.9</v>
      </c>
      <c r="N44" s="5" t="s">
        <v>356</v>
      </c>
      <c r="O44" s="5" t="s">
        <v>357</v>
      </c>
    </row>
    <row r="45">
      <c r="A45" s="1" t="s">
        <v>41</v>
      </c>
      <c r="B45" s="1" t="s">
        <v>358</v>
      </c>
      <c r="C45" s="1" t="s">
        <v>90</v>
      </c>
      <c r="D45" s="1" t="s">
        <v>31</v>
      </c>
      <c r="E45" s="1" t="s">
        <v>19</v>
      </c>
      <c r="F45" s="5" t="s">
        <v>359</v>
      </c>
      <c r="G45" s="4" t="str">
        <f>IFERROR(__xludf.DUMMYFUNCTION("INDEX(SPLIT(F45,""/""),1,3)&amp;""-""&amp;TEXT(INDEX(SPLIT(F45,""/""),1,1),""00"")"),"2012-10")</f>
        <v>2012-10</v>
      </c>
      <c r="H45" s="5" t="s">
        <v>360</v>
      </c>
      <c r="I45" s="5" t="s">
        <v>361</v>
      </c>
      <c r="J45" s="5" t="s">
        <v>362</v>
      </c>
      <c r="K45" s="5" t="s">
        <v>95</v>
      </c>
      <c r="L45" s="5" t="s">
        <v>96</v>
      </c>
      <c r="M45" s="3">
        <v>26344.26</v>
      </c>
      <c r="N45" s="5" t="s">
        <v>363</v>
      </c>
      <c r="O45" s="5" t="s">
        <v>364</v>
      </c>
    </row>
    <row r="46">
      <c r="A46" s="1" t="s">
        <v>116</v>
      </c>
      <c r="B46" s="1" t="s">
        <v>291</v>
      </c>
      <c r="C46" s="1" t="s">
        <v>125</v>
      </c>
      <c r="D46" s="1" t="s">
        <v>31</v>
      </c>
      <c r="E46" s="1" t="s">
        <v>19</v>
      </c>
      <c r="F46" s="1" t="s">
        <v>365</v>
      </c>
      <c r="G46" s="4" t="str">
        <f>IFERROR(__xludf.DUMMYFUNCTION("INDEX(SPLIT(F46,""/""),1,3)&amp;""-""&amp;TEXT(INDEX(SPLIT(F46,""/""),1,1),""00"")"),"2015-11")</f>
        <v>2015-11</v>
      </c>
      <c r="H46" s="5" t="s">
        <v>366</v>
      </c>
      <c r="I46" s="1" t="s">
        <v>367</v>
      </c>
      <c r="J46" s="5" t="s">
        <v>368</v>
      </c>
      <c r="K46" s="5" t="s">
        <v>130</v>
      </c>
      <c r="L46" s="5" t="s">
        <v>131</v>
      </c>
      <c r="M46" s="3">
        <v>648030.4</v>
      </c>
      <c r="N46" s="5" t="s">
        <v>369</v>
      </c>
      <c r="O46" s="5" t="s">
        <v>370</v>
      </c>
    </row>
    <row r="47">
      <c r="A47" s="1" t="s">
        <v>53</v>
      </c>
      <c r="B47" s="1" t="s">
        <v>371</v>
      </c>
      <c r="C47" s="1" t="s">
        <v>30</v>
      </c>
      <c r="D47" s="1" t="s">
        <v>18</v>
      </c>
      <c r="E47" s="1" t="s">
        <v>19</v>
      </c>
      <c r="F47" s="1" t="s">
        <v>372</v>
      </c>
      <c r="G47" s="4" t="str">
        <f>IFERROR(__xludf.DUMMYFUNCTION("INDEX(SPLIT(F47,""/""),1,3)&amp;""-""&amp;TEXT(INDEX(SPLIT(F47,""/""),1,1),""00"")"),"2016-03")</f>
        <v>2016-03</v>
      </c>
      <c r="H47" s="5" t="s">
        <v>373</v>
      </c>
      <c r="I47" s="1" t="s">
        <v>374</v>
      </c>
      <c r="J47" s="5" t="s">
        <v>375</v>
      </c>
      <c r="K47" s="5" t="s">
        <v>37</v>
      </c>
      <c r="L47" s="5" t="s">
        <v>38</v>
      </c>
      <c r="M47" s="3">
        <v>197883.4</v>
      </c>
      <c r="N47" s="5" t="s">
        <v>376</v>
      </c>
      <c r="O47" s="5" t="s">
        <v>377</v>
      </c>
    </row>
    <row r="48">
      <c r="A48" s="1" t="s">
        <v>41</v>
      </c>
      <c r="B48" s="1" t="s">
        <v>378</v>
      </c>
      <c r="C48" s="1" t="s">
        <v>163</v>
      </c>
      <c r="D48" s="1" t="s">
        <v>31</v>
      </c>
      <c r="E48" s="1" t="s">
        <v>32</v>
      </c>
      <c r="F48" s="1" t="s">
        <v>379</v>
      </c>
      <c r="G48" s="4" t="str">
        <f>IFERROR(__xludf.DUMMYFUNCTION("INDEX(SPLIT(F48,""/""),1,3)&amp;""-""&amp;TEXT(INDEX(SPLIT(F48,""/""),1,1),""00"")"),"2016-12")</f>
        <v>2016-12</v>
      </c>
      <c r="H48" s="5" t="s">
        <v>380</v>
      </c>
      <c r="I48" s="1" t="s">
        <v>379</v>
      </c>
      <c r="J48" s="5" t="s">
        <v>381</v>
      </c>
      <c r="K48" s="5" t="s">
        <v>168</v>
      </c>
      <c r="L48" s="5" t="s">
        <v>169</v>
      </c>
      <c r="M48" s="3">
        <v>3876652.4</v>
      </c>
      <c r="N48" s="5" t="s">
        <v>382</v>
      </c>
      <c r="O48" s="5" t="s">
        <v>383</v>
      </c>
    </row>
    <row r="49">
      <c r="A49" s="1" t="s">
        <v>41</v>
      </c>
      <c r="B49" s="1" t="s">
        <v>270</v>
      </c>
      <c r="C49" s="1" t="s">
        <v>100</v>
      </c>
      <c r="D49" s="1" t="s">
        <v>31</v>
      </c>
      <c r="E49" s="1" t="s">
        <v>80</v>
      </c>
      <c r="F49" s="1" t="s">
        <v>384</v>
      </c>
      <c r="G49" s="4" t="str">
        <f>IFERROR(__xludf.DUMMYFUNCTION("INDEX(SPLIT(F49,""/""),1,3)&amp;""-""&amp;TEXT(INDEX(SPLIT(F49,""/""),1,1),""00"")"),"2010-12")</f>
        <v>2010-12</v>
      </c>
      <c r="H49" s="5" t="s">
        <v>385</v>
      </c>
      <c r="I49" s="1" t="s">
        <v>386</v>
      </c>
      <c r="J49" s="5" t="s">
        <v>387</v>
      </c>
      <c r="K49" s="5" t="s">
        <v>105</v>
      </c>
      <c r="L49" s="5" t="s">
        <v>106</v>
      </c>
      <c r="M49" s="3">
        <v>22312.29</v>
      </c>
      <c r="N49" s="5" t="s">
        <v>388</v>
      </c>
      <c r="O49" s="5" t="s">
        <v>389</v>
      </c>
    </row>
    <row r="50">
      <c r="A50" s="1" t="s">
        <v>41</v>
      </c>
      <c r="B50" s="1" t="s">
        <v>390</v>
      </c>
      <c r="C50" s="1" t="s">
        <v>125</v>
      </c>
      <c r="D50" s="1" t="s">
        <v>18</v>
      </c>
      <c r="E50" s="1" t="s">
        <v>32</v>
      </c>
      <c r="F50" s="1" t="s">
        <v>391</v>
      </c>
      <c r="G50" s="4" t="str">
        <f>IFERROR(__xludf.DUMMYFUNCTION("INDEX(SPLIT(F50,""/""),1,3)&amp;""-""&amp;TEXT(INDEX(SPLIT(F50,""/""),1,1),""00"")"),"2014-10")</f>
        <v>2014-10</v>
      </c>
      <c r="H50" s="5" t="s">
        <v>392</v>
      </c>
      <c r="I50" s="1" t="s">
        <v>393</v>
      </c>
      <c r="J50" s="5" t="s">
        <v>394</v>
      </c>
      <c r="K50" s="5" t="s">
        <v>130</v>
      </c>
      <c r="L50" s="5" t="s">
        <v>131</v>
      </c>
      <c r="M50" s="3">
        <v>856973.76</v>
      </c>
      <c r="N50" s="5" t="s">
        <v>395</v>
      </c>
      <c r="O50" s="5" t="s">
        <v>396</v>
      </c>
    </row>
    <row r="51">
      <c r="A51" s="1" t="s">
        <v>53</v>
      </c>
      <c r="B51" s="1" t="s">
        <v>397</v>
      </c>
      <c r="C51" s="1" t="s">
        <v>43</v>
      </c>
      <c r="D51" s="1" t="s">
        <v>18</v>
      </c>
      <c r="E51" s="1" t="s">
        <v>32</v>
      </c>
      <c r="F51" s="5" t="s">
        <v>398</v>
      </c>
      <c r="G51" s="4" t="str">
        <f>IFERROR(__xludf.DUMMYFUNCTION("INDEX(SPLIT(F51,""/""),1,3)&amp;""-""&amp;TEXT(INDEX(SPLIT(F51,""/""),1,1),""00"")"),"2012-01")</f>
        <v>2012-01</v>
      </c>
      <c r="H51" s="5" t="s">
        <v>399</v>
      </c>
      <c r="I51" s="1" t="s">
        <v>400</v>
      </c>
      <c r="J51" s="5" t="s">
        <v>401</v>
      </c>
      <c r="K51" s="5" t="s">
        <v>49</v>
      </c>
      <c r="L51" s="5" t="s">
        <v>50</v>
      </c>
      <c r="M51" s="3">
        <v>824431.86</v>
      </c>
      <c r="N51" s="5" t="s">
        <v>402</v>
      </c>
      <c r="O51" s="5" t="s">
        <v>403</v>
      </c>
    </row>
    <row r="52">
      <c r="A52" s="1" t="s">
        <v>41</v>
      </c>
      <c r="B52" s="1" t="s">
        <v>404</v>
      </c>
      <c r="C52" s="1" t="s">
        <v>125</v>
      </c>
      <c r="D52" s="1" t="s">
        <v>31</v>
      </c>
      <c r="E52" s="1" t="s">
        <v>32</v>
      </c>
      <c r="F52" s="5" t="s">
        <v>405</v>
      </c>
      <c r="G52" s="4" t="str">
        <f>IFERROR(__xludf.DUMMYFUNCTION("INDEX(SPLIT(F52,""/""),1,3)&amp;""-""&amp;TEXT(INDEX(SPLIT(F52,""/""),1,1),""00"")"),"2010-02")</f>
        <v>2010-02</v>
      </c>
      <c r="H52" s="5" t="s">
        <v>406</v>
      </c>
      <c r="I52" s="1" t="s">
        <v>407</v>
      </c>
      <c r="J52" s="5" t="s">
        <v>408</v>
      </c>
      <c r="K52" s="5" t="s">
        <v>130</v>
      </c>
      <c r="L52" s="5" t="s">
        <v>131</v>
      </c>
      <c r="M52" s="3">
        <v>247956.32</v>
      </c>
      <c r="N52" s="5" t="s">
        <v>409</v>
      </c>
      <c r="O52" s="5" t="s">
        <v>410</v>
      </c>
    </row>
    <row r="53">
      <c r="A53" s="1" t="s">
        <v>53</v>
      </c>
      <c r="B53" s="1" t="s">
        <v>411</v>
      </c>
      <c r="C53" s="1" t="s">
        <v>55</v>
      </c>
      <c r="D53" s="1" t="s">
        <v>31</v>
      </c>
      <c r="E53" s="1" t="s">
        <v>44</v>
      </c>
      <c r="F53" s="1" t="s">
        <v>412</v>
      </c>
      <c r="G53" s="4" t="str">
        <f>IFERROR(__xludf.DUMMYFUNCTION("INDEX(SPLIT(F53,""/""),1,3)&amp;""-""&amp;TEXT(INDEX(SPLIT(F53,""/""),1,1),""00"")"),"2013-08")</f>
        <v>2013-08</v>
      </c>
      <c r="H53" s="5" t="s">
        <v>413</v>
      </c>
      <c r="I53" s="1" t="s">
        <v>414</v>
      </c>
      <c r="J53" s="5" t="s">
        <v>415</v>
      </c>
      <c r="K53" s="5" t="s">
        <v>60</v>
      </c>
      <c r="L53" s="5" t="s">
        <v>61</v>
      </c>
      <c r="M53" s="3">
        <v>89623.98</v>
      </c>
      <c r="N53" s="5" t="s">
        <v>416</v>
      </c>
      <c r="O53" s="5" t="s">
        <v>417</v>
      </c>
    </row>
    <row r="54">
      <c r="A54" s="1" t="s">
        <v>311</v>
      </c>
      <c r="B54" s="1" t="s">
        <v>418</v>
      </c>
      <c r="C54" s="1" t="s">
        <v>30</v>
      </c>
      <c r="D54" s="1" t="s">
        <v>31</v>
      </c>
      <c r="E54" s="1" t="s">
        <v>80</v>
      </c>
      <c r="F54" s="1" t="s">
        <v>419</v>
      </c>
      <c r="G54" s="4" t="str">
        <f>IFERROR(__xludf.DUMMYFUNCTION("INDEX(SPLIT(F54,""/""),1,3)&amp;""-""&amp;TEXT(INDEX(SPLIT(F54,""/""),1,1),""00"")"),"2013-03")</f>
        <v>2013-03</v>
      </c>
      <c r="H54" s="5" t="s">
        <v>420</v>
      </c>
      <c r="I54" s="1" t="s">
        <v>421</v>
      </c>
      <c r="J54" s="5" t="s">
        <v>422</v>
      </c>
      <c r="K54" s="5" t="s">
        <v>37</v>
      </c>
      <c r="L54" s="5" t="s">
        <v>38</v>
      </c>
      <c r="M54" s="3">
        <v>835759.1</v>
      </c>
      <c r="N54" s="5" t="s">
        <v>423</v>
      </c>
      <c r="O54" s="5" t="s">
        <v>424</v>
      </c>
    </row>
    <row r="55">
      <c r="A55" s="1" t="s">
        <v>53</v>
      </c>
      <c r="B55" s="1" t="s">
        <v>425</v>
      </c>
      <c r="C55" s="1" t="s">
        <v>43</v>
      </c>
      <c r="D55" s="1" t="s">
        <v>18</v>
      </c>
      <c r="E55" s="1" t="s">
        <v>80</v>
      </c>
      <c r="F55" s="1" t="s">
        <v>426</v>
      </c>
      <c r="G55" s="4" t="str">
        <f>IFERROR(__xludf.DUMMYFUNCTION("INDEX(SPLIT(F55,""/""),1,3)&amp;""-""&amp;TEXT(INDEX(SPLIT(F55,""/""),1,1),""00"")"),"2011-11")</f>
        <v>2011-11</v>
      </c>
      <c r="H55" s="5" t="s">
        <v>427</v>
      </c>
      <c r="I55" s="5" t="s">
        <v>428</v>
      </c>
      <c r="J55" s="5" t="s">
        <v>429</v>
      </c>
      <c r="K55" s="5" t="s">
        <v>49</v>
      </c>
      <c r="L55" s="5" t="s">
        <v>50</v>
      </c>
      <c r="M55" s="3">
        <v>2251232.97</v>
      </c>
      <c r="N55" s="5" t="s">
        <v>430</v>
      </c>
      <c r="O55" s="5" t="s">
        <v>431</v>
      </c>
    </row>
    <row r="56">
      <c r="A56" s="1" t="s">
        <v>53</v>
      </c>
      <c r="B56" s="1" t="s">
        <v>54</v>
      </c>
      <c r="C56" s="1" t="s">
        <v>55</v>
      </c>
      <c r="D56" s="1" t="s">
        <v>18</v>
      </c>
      <c r="E56" s="1" t="s">
        <v>19</v>
      </c>
      <c r="F56" s="1" t="s">
        <v>432</v>
      </c>
      <c r="G56" s="4" t="str">
        <f>IFERROR(__xludf.DUMMYFUNCTION("INDEX(SPLIT(F56,""/""),1,3)&amp;""-""&amp;TEXT(INDEX(SPLIT(F56,""/""),1,1),""00"")"),"2013-09")</f>
        <v>2013-09</v>
      </c>
      <c r="H56" s="5" t="s">
        <v>433</v>
      </c>
      <c r="I56" s="1" t="s">
        <v>434</v>
      </c>
      <c r="J56" s="5" t="s">
        <v>435</v>
      </c>
      <c r="K56" s="5" t="s">
        <v>60</v>
      </c>
      <c r="L56" s="5" t="s">
        <v>61</v>
      </c>
      <c r="M56" s="3">
        <v>71253.21</v>
      </c>
      <c r="N56" s="5" t="s">
        <v>436</v>
      </c>
      <c r="O56" s="5" t="s">
        <v>437</v>
      </c>
    </row>
    <row r="57">
      <c r="A57" s="1" t="s">
        <v>53</v>
      </c>
      <c r="B57" s="1" t="s">
        <v>438</v>
      </c>
      <c r="C57" s="1" t="s">
        <v>125</v>
      </c>
      <c r="D57" s="1" t="s">
        <v>31</v>
      </c>
      <c r="E57" s="1" t="s">
        <v>32</v>
      </c>
      <c r="F57" s="5" t="s">
        <v>354</v>
      </c>
      <c r="G57" s="4" t="str">
        <f>IFERROR(__xludf.DUMMYFUNCTION("INDEX(SPLIT(F57,""/""),1,3)&amp;""-""&amp;TEXT(INDEX(SPLIT(F57,""/""),1,1),""00"")"),"2012-06")</f>
        <v>2012-06</v>
      </c>
      <c r="H57" s="5" t="s">
        <v>439</v>
      </c>
      <c r="I57" s="1" t="s">
        <v>440</v>
      </c>
      <c r="J57" s="5" t="s">
        <v>441</v>
      </c>
      <c r="K57" s="5" t="s">
        <v>130</v>
      </c>
      <c r="L57" s="5" t="s">
        <v>131</v>
      </c>
      <c r="M57" s="3">
        <v>380512.96</v>
      </c>
      <c r="N57" s="5" t="s">
        <v>442</v>
      </c>
      <c r="O57" s="5" t="s">
        <v>443</v>
      </c>
    </row>
    <row r="58">
      <c r="A58" s="1" t="s">
        <v>15</v>
      </c>
      <c r="B58" s="1" t="s">
        <v>444</v>
      </c>
      <c r="C58" s="1" t="s">
        <v>125</v>
      </c>
      <c r="D58" s="1" t="s">
        <v>18</v>
      </c>
      <c r="E58" s="1" t="s">
        <v>32</v>
      </c>
      <c r="F58" s="1" t="s">
        <v>445</v>
      </c>
      <c r="G58" s="4" t="str">
        <f>IFERROR(__xludf.DUMMYFUNCTION("INDEX(SPLIT(F58,""/""),1,3)&amp;""-""&amp;TEXT(INDEX(SPLIT(F58,""/""),1,1),""00"")"),"2010-06")</f>
        <v>2010-06</v>
      </c>
      <c r="H58" s="5" t="s">
        <v>446</v>
      </c>
      <c r="I58" s="5" t="s">
        <v>447</v>
      </c>
      <c r="J58" s="5" t="s">
        <v>448</v>
      </c>
      <c r="K58" s="5" t="s">
        <v>130</v>
      </c>
      <c r="L58" s="5" t="s">
        <v>131</v>
      </c>
      <c r="M58" s="3">
        <v>1082418.4</v>
      </c>
      <c r="N58" s="5" t="s">
        <v>449</v>
      </c>
      <c r="O58" s="5" t="s">
        <v>450</v>
      </c>
    </row>
    <row r="59">
      <c r="A59" s="1" t="s">
        <v>41</v>
      </c>
      <c r="B59" s="1" t="s">
        <v>451</v>
      </c>
      <c r="C59" s="1" t="s">
        <v>163</v>
      </c>
      <c r="D59" s="1" t="s">
        <v>18</v>
      </c>
      <c r="E59" s="1" t="s">
        <v>19</v>
      </c>
      <c r="F59" s="1" t="s">
        <v>452</v>
      </c>
      <c r="G59" s="4" t="str">
        <f>IFERROR(__xludf.DUMMYFUNCTION("INDEX(SPLIT(F59,""/""),1,3)&amp;""-""&amp;TEXT(INDEX(SPLIT(F59,""/""),1,1),""00"")"),"2015-02")</f>
        <v>2015-02</v>
      </c>
      <c r="H59" s="5" t="s">
        <v>453</v>
      </c>
      <c r="I59" s="5" t="s">
        <v>454</v>
      </c>
      <c r="J59" s="5" t="s">
        <v>455</v>
      </c>
      <c r="K59" s="5" t="s">
        <v>168</v>
      </c>
      <c r="L59" s="5" t="s">
        <v>169</v>
      </c>
      <c r="M59" s="3">
        <v>1244708.4</v>
      </c>
      <c r="N59" s="5" t="s">
        <v>456</v>
      </c>
      <c r="O59" s="5" t="s">
        <v>457</v>
      </c>
    </row>
    <row r="60">
      <c r="A60" s="1" t="s">
        <v>41</v>
      </c>
      <c r="B60" s="1" t="s">
        <v>458</v>
      </c>
      <c r="C60" s="1" t="s">
        <v>79</v>
      </c>
      <c r="D60" s="1" t="s">
        <v>31</v>
      </c>
      <c r="E60" s="1" t="s">
        <v>44</v>
      </c>
      <c r="F60" s="5" t="s">
        <v>459</v>
      </c>
      <c r="G60" s="4" t="str">
        <f>IFERROR(__xludf.DUMMYFUNCTION("INDEX(SPLIT(F60,""/""),1,3)&amp;""-""&amp;TEXT(INDEX(SPLIT(F60,""/""),1,1),""00"")"),"2012-01")</f>
        <v>2012-01</v>
      </c>
      <c r="H60" s="5" t="s">
        <v>460</v>
      </c>
      <c r="I60" s="1" t="s">
        <v>461</v>
      </c>
      <c r="J60" s="5" t="s">
        <v>462</v>
      </c>
      <c r="K60" s="5" t="s">
        <v>85</v>
      </c>
      <c r="L60" s="5" t="s">
        <v>86</v>
      </c>
      <c r="M60" s="3">
        <v>188452.14</v>
      </c>
      <c r="N60" s="5" t="s">
        <v>463</v>
      </c>
      <c r="O60" s="5" t="s">
        <v>464</v>
      </c>
    </row>
    <row r="61">
      <c r="A61" s="1" t="s">
        <v>53</v>
      </c>
      <c r="B61" s="1" t="s">
        <v>298</v>
      </c>
      <c r="C61" s="1" t="s">
        <v>163</v>
      </c>
      <c r="D61" s="1" t="s">
        <v>18</v>
      </c>
      <c r="E61" s="1" t="s">
        <v>19</v>
      </c>
      <c r="F61" s="5" t="s">
        <v>465</v>
      </c>
      <c r="G61" s="4" t="str">
        <f>IFERROR(__xludf.DUMMYFUNCTION("INDEX(SPLIT(F61,""/""),1,3)&amp;""-""&amp;TEXT(INDEX(SPLIT(F61,""/""),1,1),""00"")"),"2014-04")</f>
        <v>2014-04</v>
      </c>
      <c r="H61" s="5" t="s">
        <v>466</v>
      </c>
      <c r="I61" s="1" t="s">
        <v>467</v>
      </c>
      <c r="J61" s="5" t="s">
        <v>468</v>
      </c>
      <c r="K61" s="5" t="s">
        <v>168</v>
      </c>
      <c r="L61" s="5" t="s">
        <v>169</v>
      </c>
      <c r="M61" s="3">
        <v>3154398.0</v>
      </c>
      <c r="N61" s="5" t="s">
        <v>469</v>
      </c>
      <c r="O61" s="5" t="s">
        <v>470</v>
      </c>
    </row>
    <row r="62">
      <c r="A62" s="1" t="s">
        <v>15</v>
      </c>
      <c r="B62" s="1" t="s">
        <v>284</v>
      </c>
      <c r="C62" s="1" t="s">
        <v>30</v>
      </c>
      <c r="D62" s="1" t="s">
        <v>18</v>
      </c>
      <c r="E62" s="1" t="s">
        <v>19</v>
      </c>
      <c r="F62" s="5" t="s">
        <v>471</v>
      </c>
      <c r="G62" s="4" t="str">
        <f>IFERROR(__xludf.DUMMYFUNCTION("INDEX(SPLIT(F62,""/""),1,3)&amp;""-""&amp;TEXT(INDEX(SPLIT(F62,""/""),1,1),""00"")"),"2013-06")</f>
        <v>2013-06</v>
      </c>
      <c r="H62" s="5" t="s">
        <v>472</v>
      </c>
      <c r="I62" s="5" t="s">
        <v>473</v>
      </c>
      <c r="J62" s="5" t="s">
        <v>474</v>
      </c>
      <c r="K62" s="5" t="s">
        <v>37</v>
      </c>
      <c r="L62" s="5" t="s">
        <v>38</v>
      </c>
      <c r="M62" s="3">
        <v>140287.4</v>
      </c>
      <c r="N62" s="5" t="s">
        <v>475</v>
      </c>
      <c r="O62" s="5" t="s">
        <v>476</v>
      </c>
    </row>
    <row r="63">
      <c r="A63" s="1" t="s">
        <v>41</v>
      </c>
      <c r="B63" s="1" t="s">
        <v>477</v>
      </c>
      <c r="C63" s="1" t="s">
        <v>17</v>
      </c>
      <c r="D63" s="1" t="s">
        <v>31</v>
      </c>
      <c r="E63" s="1" t="s">
        <v>44</v>
      </c>
      <c r="F63" s="1" t="s">
        <v>478</v>
      </c>
      <c r="G63" s="4" t="str">
        <f>IFERROR(__xludf.DUMMYFUNCTION("INDEX(SPLIT(F63,""/""),1,3)&amp;""-""&amp;TEXT(INDEX(SPLIT(F63,""/""),1,1),""00"")"),"2013-06")</f>
        <v>2013-06</v>
      </c>
      <c r="H63" s="5" t="s">
        <v>479</v>
      </c>
      <c r="I63" s="5" t="s">
        <v>480</v>
      </c>
      <c r="J63" s="5" t="s">
        <v>481</v>
      </c>
      <c r="K63" s="5" t="s">
        <v>24</v>
      </c>
      <c r="L63" s="5" t="s">
        <v>25</v>
      </c>
      <c r="M63" s="3">
        <v>1212580.0</v>
      </c>
      <c r="N63" s="5" t="s">
        <v>482</v>
      </c>
      <c r="O63" s="5" t="s">
        <v>483</v>
      </c>
    </row>
    <row r="64">
      <c r="A64" s="1" t="s">
        <v>53</v>
      </c>
      <c r="B64" s="1" t="s">
        <v>172</v>
      </c>
      <c r="C64" s="1" t="s">
        <v>43</v>
      </c>
      <c r="D64" s="1" t="s">
        <v>31</v>
      </c>
      <c r="E64" s="1" t="s">
        <v>80</v>
      </c>
      <c r="F64" s="5" t="s">
        <v>484</v>
      </c>
      <c r="G64" s="4" t="str">
        <f>IFERROR(__xludf.DUMMYFUNCTION("INDEX(SPLIT(F64,""/""),1,3)&amp;""-""&amp;TEXT(INDEX(SPLIT(F64,""/""),1,1),""00"")"),"2011-11")</f>
        <v>2011-11</v>
      </c>
      <c r="H64" s="5" t="s">
        <v>485</v>
      </c>
      <c r="I64" s="1" t="s">
        <v>486</v>
      </c>
      <c r="J64" s="5" t="s">
        <v>487</v>
      </c>
      <c r="K64" s="5" t="s">
        <v>49</v>
      </c>
      <c r="L64" s="5" t="s">
        <v>50</v>
      </c>
      <c r="M64" s="3">
        <v>3593376.78</v>
      </c>
      <c r="N64" s="5" t="s">
        <v>488</v>
      </c>
      <c r="O64" s="5" t="s">
        <v>489</v>
      </c>
    </row>
    <row r="65">
      <c r="A65" s="1" t="s">
        <v>311</v>
      </c>
      <c r="B65" s="1" t="s">
        <v>490</v>
      </c>
      <c r="C65" s="1" t="s">
        <v>125</v>
      </c>
      <c r="D65" s="1" t="s">
        <v>18</v>
      </c>
      <c r="E65" s="1" t="s">
        <v>19</v>
      </c>
      <c r="F65" s="1" t="s">
        <v>491</v>
      </c>
      <c r="G65" s="4" t="str">
        <f>IFERROR(__xludf.DUMMYFUNCTION("INDEX(SPLIT(F65,""/""),1,3)&amp;""-""&amp;TEXT(INDEX(SPLIT(F65,""/""),1,1),""00"")"),"2010-10")</f>
        <v>2010-10</v>
      </c>
      <c r="H65" s="5" t="s">
        <v>492</v>
      </c>
      <c r="I65" s="1" t="s">
        <v>493</v>
      </c>
      <c r="J65" s="5" t="s">
        <v>494</v>
      </c>
      <c r="K65" s="5" t="s">
        <v>130</v>
      </c>
      <c r="L65" s="5" t="s">
        <v>131</v>
      </c>
      <c r="M65" s="3">
        <v>668356.48</v>
      </c>
      <c r="N65" s="5" t="s">
        <v>495</v>
      </c>
      <c r="O65" s="5" t="s">
        <v>496</v>
      </c>
    </row>
    <row r="66">
      <c r="A66" s="1" t="s">
        <v>28</v>
      </c>
      <c r="B66" s="1" t="s">
        <v>497</v>
      </c>
      <c r="C66" s="1" t="s">
        <v>163</v>
      </c>
      <c r="D66" s="1" t="s">
        <v>18</v>
      </c>
      <c r="E66" s="1" t="s">
        <v>19</v>
      </c>
      <c r="F66" s="1" t="s">
        <v>498</v>
      </c>
      <c r="G66" s="4" t="str">
        <f>IFERROR(__xludf.DUMMYFUNCTION("INDEX(SPLIT(F66,""/""),1,3)&amp;""-""&amp;TEXT(INDEX(SPLIT(F66,""/""),1,1),""00"")"),"2013-10")</f>
        <v>2013-10</v>
      </c>
      <c r="H66" s="5" t="s">
        <v>499</v>
      </c>
      <c r="I66" s="1" t="s">
        <v>500</v>
      </c>
      <c r="J66" s="5" t="s">
        <v>501</v>
      </c>
      <c r="K66" s="5" t="s">
        <v>168</v>
      </c>
      <c r="L66" s="5" t="s">
        <v>169</v>
      </c>
      <c r="M66" s="3">
        <v>745426.0</v>
      </c>
      <c r="N66" s="5" t="s">
        <v>502</v>
      </c>
      <c r="O66" s="5" t="s">
        <v>503</v>
      </c>
    </row>
    <row r="67">
      <c r="A67" s="1" t="s">
        <v>53</v>
      </c>
      <c r="B67" s="1" t="s">
        <v>64</v>
      </c>
      <c r="C67" s="1" t="s">
        <v>163</v>
      </c>
      <c r="D67" s="1" t="s">
        <v>18</v>
      </c>
      <c r="E67" s="1" t="s">
        <v>19</v>
      </c>
      <c r="F67" s="5" t="s">
        <v>504</v>
      </c>
      <c r="G67" s="4" t="str">
        <f>IFERROR(__xludf.DUMMYFUNCTION("INDEX(SPLIT(F67,""/""),1,3)&amp;""-""&amp;TEXT(INDEX(SPLIT(F67,""/""),1,1),""00"")"),"2013-10")</f>
        <v>2013-10</v>
      </c>
      <c r="H67" s="5" t="s">
        <v>505</v>
      </c>
      <c r="I67" s="1" t="s">
        <v>506</v>
      </c>
      <c r="J67" s="5" t="s">
        <v>507</v>
      </c>
      <c r="K67" s="5" t="s">
        <v>168</v>
      </c>
      <c r="L67" s="5" t="s">
        <v>169</v>
      </c>
      <c r="M67" s="3">
        <v>1957344.4</v>
      </c>
      <c r="N67" s="5" t="s">
        <v>508</v>
      </c>
      <c r="O67" s="5" t="s">
        <v>509</v>
      </c>
    </row>
    <row r="68">
      <c r="A68" s="1" t="s">
        <v>53</v>
      </c>
      <c r="B68" s="1" t="s">
        <v>510</v>
      </c>
      <c r="C68" s="1" t="s">
        <v>100</v>
      </c>
      <c r="D68" s="1" t="s">
        <v>18</v>
      </c>
      <c r="E68" s="1" t="s">
        <v>44</v>
      </c>
      <c r="F68" s="5" t="s">
        <v>511</v>
      </c>
      <c r="G68" s="4" t="str">
        <f>IFERROR(__xludf.DUMMYFUNCTION("INDEX(SPLIT(F68,""/""),1,3)&amp;""-""&amp;TEXT(INDEX(SPLIT(F68,""/""),1,1),""00"")"),"2012-07")</f>
        <v>2012-07</v>
      </c>
      <c r="H68" s="5" t="s">
        <v>512</v>
      </c>
      <c r="I68" s="5" t="s">
        <v>513</v>
      </c>
      <c r="J68" s="5" t="s">
        <v>514</v>
      </c>
      <c r="K68" s="5" t="s">
        <v>105</v>
      </c>
      <c r="L68" s="5" t="s">
        <v>106</v>
      </c>
      <c r="M68" s="3">
        <v>707454.88</v>
      </c>
      <c r="N68" s="5" t="s">
        <v>515</v>
      </c>
      <c r="O68" s="5" t="s">
        <v>516</v>
      </c>
    </row>
    <row r="69">
      <c r="A69" s="1" t="s">
        <v>28</v>
      </c>
      <c r="B69" s="1" t="s">
        <v>517</v>
      </c>
      <c r="C69" s="1" t="s">
        <v>125</v>
      </c>
      <c r="D69" s="1" t="s">
        <v>18</v>
      </c>
      <c r="E69" s="1" t="s">
        <v>80</v>
      </c>
      <c r="F69" s="1" t="s">
        <v>518</v>
      </c>
      <c r="G69" s="4" t="str">
        <f>IFERROR(__xludf.DUMMYFUNCTION("INDEX(SPLIT(F69,""/""),1,3)&amp;""-""&amp;TEXT(INDEX(SPLIT(F69,""/""),1,1),""00"")"),"2016-07")</f>
        <v>2016-07</v>
      </c>
      <c r="H69" s="5" t="s">
        <v>519</v>
      </c>
      <c r="I69" s="5" t="s">
        <v>520</v>
      </c>
      <c r="J69" s="5" t="s">
        <v>521</v>
      </c>
      <c r="K69" s="5" t="s">
        <v>130</v>
      </c>
      <c r="L69" s="5" t="s">
        <v>131</v>
      </c>
      <c r="M69" s="3">
        <v>600821.44</v>
      </c>
      <c r="N69" s="5" t="s">
        <v>522</v>
      </c>
      <c r="O69" s="5" t="s">
        <v>523</v>
      </c>
    </row>
    <row r="70">
      <c r="A70" s="1" t="s">
        <v>41</v>
      </c>
      <c r="B70" s="1" t="s">
        <v>524</v>
      </c>
      <c r="C70" s="1" t="s">
        <v>43</v>
      </c>
      <c r="D70" s="1" t="s">
        <v>18</v>
      </c>
      <c r="E70" s="1" t="s">
        <v>19</v>
      </c>
      <c r="F70" s="1" t="s">
        <v>525</v>
      </c>
      <c r="G70" s="4" t="str">
        <f>IFERROR(__xludf.DUMMYFUNCTION("INDEX(SPLIT(F70,""/""),1,3)&amp;""-""&amp;TEXT(INDEX(SPLIT(F70,""/""),1,1),""00"")"),"2010-10")</f>
        <v>2010-10</v>
      </c>
      <c r="H70" s="5" t="s">
        <v>526</v>
      </c>
      <c r="I70" s="1" t="s">
        <v>493</v>
      </c>
      <c r="J70" s="5" t="s">
        <v>527</v>
      </c>
      <c r="K70" s="5" t="s">
        <v>49</v>
      </c>
      <c r="L70" s="5" t="s">
        <v>50</v>
      </c>
      <c r="M70" s="3">
        <v>5396577.27</v>
      </c>
      <c r="N70" s="5" t="s">
        <v>528</v>
      </c>
      <c r="O70" s="5" t="s">
        <v>529</v>
      </c>
    </row>
    <row r="71">
      <c r="A71" s="1" t="s">
        <v>53</v>
      </c>
      <c r="B71" s="1" t="s">
        <v>530</v>
      </c>
      <c r="C71" s="1" t="s">
        <v>125</v>
      </c>
      <c r="D71" s="1" t="s">
        <v>18</v>
      </c>
      <c r="E71" s="1" t="s">
        <v>44</v>
      </c>
      <c r="F71" s="1" t="s">
        <v>531</v>
      </c>
      <c r="G71" s="4" t="str">
        <f>IFERROR(__xludf.DUMMYFUNCTION("INDEX(SPLIT(F71,""/""),1,3)&amp;""-""&amp;TEXT(INDEX(SPLIT(F71,""/""),1,1),""00"")"),"2015-04")</f>
        <v>2015-04</v>
      </c>
      <c r="H71" s="5" t="s">
        <v>532</v>
      </c>
      <c r="I71" s="1" t="s">
        <v>533</v>
      </c>
      <c r="J71" s="5" t="s">
        <v>534</v>
      </c>
      <c r="K71" s="5" t="s">
        <v>130</v>
      </c>
      <c r="L71" s="5" t="s">
        <v>131</v>
      </c>
      <c r="M71" s="3">
        <v>802333.76</v>
      </c>
      <c r="N71" s="5" t="s">
        <v>535</v>
      </c>
      <c r="O71" s="5" t="s">
        <v>536</v>
      </c>
    </row>
    <row r="72">
      <c r="A72" s="1" t="s">
        <v>116</v>
      </c>
      <c r="B72" s="1" t="s">
        <v>182</v>
      </c>
      <c r="C72" s="1" t="s">
        <v>43</v>
      </c>
      <c r="D72" s="1" t="s">
        <v>31</v>
      </c>
      <c r="E72" s="1" t="s">
        <v>80</v>
      </c>
      <c r="F72" s="1" t="s">
        <v>537</v>
      </c>
      <c r="G72" s="4" t="str">
        <f>IFERROR(__xludf.DUMMYFUNCTION("INDEX(SPLIT(F72,""/""),1,3)&amp;""-""&amp;TEXT(INDEX(SPLIT(F72,""/""),1,1),""00"")"),"2013-04")</f>
        <v>2013-04</v>
      </c>
      <c r="H72" s="5" t="s">
        <v>538</v>
      </c>
      <c r="I72" s="1" t="s">
        <v>539</v>
      </c>
      <c r="J72" s="5" t="s">
        <v>540</v>
      </c>
      <c r="K72" s="5" t="s">
        <v>49</v>
      </c>
      <c r="L72" s="5" t="s">
        <v>50</v>
      </c>
      <c r="M72" s="3">
        <v>3262562.1</v>
      </c>
      <c r="N72" s="5" t="s">
        <v>541</v>
      </c>
      <c r="O72" s="5" t="s">
        <v>542</v>
      </c>
    </row>
    <row r="73">
      <c r="A73" s="1" t="s">
        <v>311</v>
      </c>
      <c r="B73" s="1" t="s">
        <v>490</v>
      </c>
      <c r="C73" s="1" t="s">
        <v>55</v>
      </c>
      <c r="D73" s="1" t="s">
        <v>31</v>
      </c>
      <c r="E73" s="1" t="s">
        <v>44</v>
      </c>
      <c r="F73" s="1" t="s">
        <v>543</v>
      </c>
      <c r="G73" s="4" t="str">
        <f>IFERROR(__xludf.DUMMYFUNCTION("INDEX(SPLIT(F73,""/""),1,3)&amp;""-""&amp;TEXT(INDEX(SPLIT(F73,""/""),1,1),""00"")"),"2015-08")</f>
        <v>2015-08</v>
      </c>
      <c r="H73" s="5" t="s">
        <v>544</v>
      </c>
      <c r="I73" s="1" t="s">
        <v>545</v>
      </c>
      <c r="J73" s="5" t="s">
        <v>546</v>
      </c>
      <c r="K73" s="5" t="s">
        <v>60</v>
      </c>
      <c r="L73" s="5" t="s">
        <v>61</v>
      </c>
      <c r="M73" s="3">
        <v>6279.09</v>
      </c>
      <c r="N73" s="5" t="s">
        <v>547</v>
      </c>
      <c r="O73" s="5" t="s">
        <v>548</v>
      </c>
    </row>
    <row r="74">
      <c r="A74" s="1" t="s">
        <v>53</v>
      </c>
      <c r="B74" s="1" t="s">
        <v>549</v>
      </c>
      <c r="C74" s="1" t="s">
        <v>173</v>
      </c>
      <c r="D74" s="1" t="s">
        <v>31</v>
      </c>
      <c r="E74" s="1" t="s">
        <v>32</v>
      </c>
      <c r="F74" s="1" t="s">
        <v>550</v>
      </c>
      <c r="G74" s="4" t="str">
        <f>IFERROR(__xludf.DUMMYFUNCTION("INDEX(SPLIT(F74,""/""),1,3)&amp;""-""&amp;TEXT(INDEX(SPLIT(F74,""/""),1,1),""00"")"),"2011-05")</f>
        <v>2011-05</v>
      </c>
      <c r="H74" s="5" t="s">
        <v>551</v>
      </c>
      <c r="I74" s="1" t="s">
        <v>552</v>
      </c>
      <c r="J74" s="5" t="s">
        <v>553</v>
      </c>
      <c r="K74" s="5" t="s">
        <v>178</v>
      </c>
      <c r="L74" s="5" t="s">
        <v>179</v>
      </c>
      <c r="M74" s="3">
        <v>272410.45</v>
      </c>
      <c r="N74" s="5" t="s">
        <v>554</v>
      </c>
      <c r="O74" s="5" t="s">
        <v>555</v>
      </c>
    </row>
    <row r="75">
      <c r="A75" s="1" t="s">
        <v>53</v>
      </c>
      <c r="B75" s="1" t="s">
        <v>298</v>
      </c>
      <c r="C75" s="1" t="s">
        <v>30</v>
      </c>
      <c r="D75" s="1" t="s">
        <v>31</v>
      </c>
      <c r="E75" s="1" t="s">
        <v>19</v>
      </c>
      <c r="F75" s="1" t="s">
        <v>556</v>
      </c>
      <c r="G75" s="4" t="str">
        <f>IFERROR(__xludf.DUMMYFUNCTION("INDEX(SPLIT(F75,""/""),1,3)&amp;""-""&amp;TEXT(INDEX(SPLIT(F75,""/""),1,1),""00"")"),"2017-05")</f>
        <v>2017-05</v>
      </c>
      <c r="H75" s="5" t="s">
        <v>557</v>
      </c>
      <c r="I75" s="1" t="s">
        <v>558</v>
      </c>
      <c r="J75" s="5" t="s">
        <v>514</v>
      </c>
      <c r="K75" s="5" t="s">
        <v>37</v>
      </c>
      <c r="L75" s="5" t="s">
        <v>38</v>
      </c>
      <c r="M75" s="3">
        <v>1780539.2</v>
      </c>
      <c r="N75" s="5" t="s">
        <v>559</v>
      </c>
      <c r="O75" s="5" t="s">
        <v>560</v>
      </c>
    </row>
    <row r="76">
      <c r="A76" s="1" t="s">
        <v>311</v>
      </c>
      <c r="B76" s="1" t="s">
        <v>561</v>
      </c>
      <c r="C76" s="1" t="s">
        <v>163</v>
      </c>
      <c r="D76" s="1" t="s">
        <v>18</v>
      </c>
      <c r="E76" s="1" t="s">
        <v>44</v>
      </c>
      <c r="F76" s="5" t="s">
        <v>562</v>
      </c>
      <c r="G76" s="4" t="str">
        <f>IFERROR(__xludf.DUMMYFUNCTION("INDEX(SPLIT(F76,""/""),1,3)&amp;""-""&amp;TEXT(INDEX(SPLIT(F76,""/""),1,1),""00"")"),"2013-07")</f>
        <v>2013-07</v>
      </c>
      <c r="H76" s="5" t="s">
        <v>563</v>
      </c>
      <c r="I76" s="1" t="s">
        <v>564</v>
      </c>
      <c r="J76" s="5" t="s">
        <v>565</v>
      </c>
      <c r="K76" s="5" t="s">
        <v>168</v>
      </c>
      <c r="L76" s="5" t="s">
        <v>169</v>
      </c>
      <c r="M76" s="3">
        <v>4324782.4</v>
      </c>
      <c r="N76" s="5" t="s">
        <v>566</v>
      </c>
      <c r="O76" s="5" t="s">
        <v>567</v>
      </c>
    </row>
    <row r="77">
      <c r="A77" s="1" t="s">
        <v>568</v>
      </c>
      <c r="B77" s="1" t="s">
        <v>569</v>
      </c>
      <c r="C77" s="1" t="s">
        <v>79</v>
      </c>
      <c r="D77" s="1" t="s">
        <v>18</v>
      </c>
      <c r="E77" s="1" t="s">
        <v>32</v>
      </c>
      <c r="F77" s="5" t="s">
        <v>570</v>
      </c>
      <c r="G77" s="4" t="str">
        <f>IFERROR(__xludf.DUMMYFUNCTION("INDEX(SPLIT(F77,""/""),1,3)&amp;""-""&amp;TEXT(INDEX(SPLIT(F77,""/""),1,1),""00"")"),"2014-11")</f>
        <v>2014-11</v>
      </c>
      <c r="H77" s="5" t="s">
        <v>571</v>
      </c>
      <c r="I77" s="5" t="s">
        <v>572</v>
      </c>
      <c r="J77" s="5" t="s">
        <v>573</v>
      </c>
      <c r="K77" s="5" t="s">
        <v>85</v>
      </c>
      <c r="L77" s="5" t="s">
        <v>86</v>
      </c>
      <c r="M77" s="3">
        <v>4647149.58</v>
      </c>
      <c r="N77" s="5" t="s">
        <v>574</v>
      </c>
      <c r="O77" s="5" t="s">
        <v>575</v>
      </c>
    </row>
    <row r="78">
      <c r="A78" s="1" t="s">
        <v>15</v>
      </c>
      <c r="B78" s="1" t="s">
        <v>576</v>
      </c>
      <c r="C78" s="1" t="s">
        <v>173</v>
      </c>
      <c r="D78" s="1" t="s">
        <v>31</v>
      </c>
      <c r="E78" s="1" t="s">
        <v>32</v>
      </c>
      <c r="F78" s="1" t="s">
        <v>577</v>
      </c>
      <c r="G78" s="4" t="str">
        <f>IFERROR(__xludf.DUMMYFUNCTION("INDEX(SPLIT(F78,""/""),1,3)&amp;""-""&amp;TEXT(INDEX(SPLIT(F78,""/""),1,1),""00"")"),"2014-10")</f>
        <v>2014-10</v>
      </c>
      <c r="H78" s="5" t="s">
        <v>578</v>
      </c>
      <c r="I78" s="1" t="s">
        <v>579</v>
      </c>
      <c r="J78" s="5" t="s">
        <v>580</v>
      </c>
      <c r="K78" s="5" t="s">
        <v>178</v>
      </c>
      <c r="L78" s="5" t="s">
        <v>179</v>
      </c>
      <c r="M78" s="3">
        <v>445033.55</v>
      </c>
      <c r="N78" s="5" t="s">
        <v>581</v>
      </c>
      <c r="O78" s="5" t="s">
        <v>582</v>
      </c>
    </row>
    <row r="79">
      <c r="A79" s="1" t="s">
        <v>116</v>
      </c>
      <c r="B79" s="1" t="s">
        <v>583</v>
      </c>
      <c r="C79" s="1" t="s">
        <v>90</v>
      </c>
      <c r="D79" s="1" t="s">
        <v>18</v>
      </c>
      <c r="E79" s="1" t="s">
        <v>32</v>
      </c>
      <c r="F79" s="1" t="s">
        <v>584</v>
      </c>
      <c r="G79" s="4" t="str">
        <f>IFERROR(__xludf.DUMMYFUNCTION("INDEX(SPLIT(F79,""/""),1,3)&amp;""-""&amp;TEXT(INDEX(SPLIT(F79,""/""),1,1),""00"")"),"2011-09")</f>
        <v>2011-09</v>
      </c>
      <c r="H79" s="5" t="s">
        <v>585</v>
      </c>
      <c r="I79" s="1" t="s">
        <v>586</v>
      </c>
      <c r="J79" s="5" t="s">
        <v>587</v>
      </c>
      <c r="K79" s="5" t="s">
        <v>95</v>
      </c>
      <c r="L79" s="5" t="s">
        <v>96</v>
      </c>
      <c r="M79" s="3">
        <v>574951.92</v>
      </c>
      <c r="N79" s="5" t="s">
        <v>588</v>
      </c>
      <c r="O79" s="5" t="s">
        <v>589</v>
      </c>
    </row>
    <row r="80">
      <c r="A80" s="1" t="s">
        <v>41</v>
      </c>
      <c r="B80" s="1" t="s">
        <v>590</v>
      </c>
      <c r="C80" s="1" t="s">
        <v>17</v>
      </c>
      <c r="D80" s="1" t="s">
        <v>18</v>
      </c>
      <c r="E80" s="1" t="s">
        <v>19</v>
      </c>
      <c r="F80" s="1" t="s">
        <v>591</v>
      </c>
      <c r="G80" s="4" t="str">
        <f>IFERROR(__xludf.DUMMYFUNCTION("INDEX(SPLIT(F80,""/""),1,3)&amp;""-""&amp;TEXT(INDEX(SPLIT(F80,""/""),1,1),""00"")"),"2012-05")</f>
        <v>2012-05</v>
      </c>
      <c r="H80" s="5" t="s">
        <v>592</v>
      </c>
      <c r="I80" s="5" t="s">
        <v>593</v>
      </c>
      <c r="J80" s="5" t="s">
        <v>594</v>
      </c>
      <c r="K80" s="5" t="s">
        <v>24</v>
      </c>
      <c r="L80" s="5" t="s">
        <v>25</v>
      </c>
      <c r="M80" s="3">
        <v>2198981.92</v>
      </c>
      <c r="N80" s="5" t="s">
        <v>595</v>
      </c>
      <c r="O80" s="5" t="s">
        <v>596</v>
      </c>
    </row>
    <row r="81">
      <c r="A81" s="1" t="s">
        <v>15</v>
      </c>
      <c r="B81" s="1" t="s">
        <v>597</v>
      </c>
      <c r="C81" s="1" t="s">
        <v>163</v>
      </c>
      <c r="D81" s="1" t="s">
        <v>31</v>
      </c>
      <c r="E81" s="1" t="s">
        <v>19</v>
      </c>
      <c r="F81" s="1" t="s">
        <v>598</v>
      </c>
      <c r="G81" s="4" t="str">
        <f>IFERROR(__xludf.DUMMYFUNCTION("INDEX(SPLIT(F81,""/""),1,3)&amp;""-""&amp;TEXT(INDEX(SPLIT(F81,""/""),1,1),""00"")"),"2013-07")</f>
        <v>2013-07</v>
      </c>
      <c r="H81" s="5" t="s">
        <v>599</v>
      </c>
      <c r="I81" s="5" t="s">
        <v>600</v>
      </c>
      <c r="J81" s="5" t="s">
        <v>601</v>
      </c>
      <c r="K81" s="5" t="s">
        <v>168</v>
      </c>
      <c r="L81" s="5" t="s">
        <v>169</v>
      </c>
      <c r="M81" s="3">
        <v>4220728.8</v>
      </c>
      <c r="N81" s="5" t="s">
        <v>602</v>
      </c>
      <c r="O81" s="5" t="s">
        <v>603</v>
      </c>
    </row>
    <row r="82">
      <c r="A82" s="1" t="s">
        <v>41</v>
      </c>
      <c r="B82" s="1" t="s">
        <v>604</v>
      </c>
      <c r="C82" s="1" t="s">
        <v>79</v>
      </c>
      <c r="D82" s="1" t="s">
        <v>18</v>
      </c>
      <c r="E82" s="1" t="s">
        <v>44</v>
      </c>
      <c r="F82" s="1" t="s">
        <v>605</v>
      </c>
      <c r="G82" s="4" t="str">
        <f>IFERROR(__xludf.DUMMYFUNCTION("INDEX(SPLIT(F82,""/""),1,3)&amp;""-""&amp;TEXT(INDEX(SPLIT(F82,""/""),1,1),""00"")"),"2012-10")</f>
        <v>2012-10</v>
      </c>
      <c r="H82" s="5" t="s">
        <v>606</v>
      </c>
      <c r="I82" s="1" t="s">
        <v>607</v>
      </c>
      <c r="J82" s="5" t="s">
        <v>608</v>
      </c>
      <c r="K82" s="5" t="s">
        <v>85</v>
      </c>
      <c r="L82" s="5" t="s">
        <v>86</v>
      </c>
      <c r="M82" s="3">
        <v>3015902.51</v>
      </c>
      <c r="N82" s="5" t="s">
        <v>609</v>
      </c>
      <c r="O82" s="5" t="s">
        <v>610</v>
      </c>
    </row>
    <row r="83">
      <c r="A83" s="1" t="s">
        <v>311</v>
      </c>
      <c r="B83" s="1" t="s">
        <v>611</v>
      </c>
      <c r="C83" s="1" t="s">
        <v>125</v>
      </c>
      <c r="D83" s="1" t="s">
        <v>31</v>
      </c>
      <c r="E83" s="1" t="s">
        <v>44</v>
      </c>
      <c r="F83" s="1" t="s">
        <v>612</v>
      </c>
      <c r="G83" s="4" t="str">
        <f>IFERROR(__xludf.DUMMYFUNCTION("INDEX(SPLIT(F83,""/""),1,3)&amp;""-""&amp;TEXT(INDEX(SPLIT(F83,""/""),1,1),""00"")"),"2012-09")</f>
        <v>2012-09</v>
      </c>
      <c r="H83" s="5" t="s">
        <v>613</v>
      </c>
      <c r="I83" s="5" t="s">
        <v>614</v>
      </c>
      <c r="J83" s="5" t="s">
        <v>615</v>
      </c>
      <c r="K83" s="5" t="s">
        <v>130</v>
      </c>
      <c r="L83" s="5" t="s">
        <v>131</v>
      </c>
      <c r="M83" s="3">
        <v>861563.52</v>
      </c>
      <c r="N83" s="5" t="s">
        <v>616</v>
      </c>
      <c r="O83" s="5" t="s">
        <v>617</v>
      </c>
    </row>
    <row r="84">
      <c r="A84" s="1" t="s">
        <v>311</v>
      </c>
      <c r="B84" s="1" t="s">
        <v>618</v>
      </c>
      <c r="C84" s="1" t="s">
        <v>163</v>
      </c>
      <c r="D84" s="1" t="s">
        <v>31</v>
      </c>
      <c r="E84" s="1" t="s">
        <v>19</v>
      </c>
      <c r="F84" s="1" t="s">
        <v>619</v>
      </c>
      <c r="G84" s="4" t="str">
        <f>IFERROR(__xludf.DUMMYFUNCTION("INDEX(SPLIT(F84,""/""),1,3)&amp;""-""&amp;TEXT(INDEX(SPLIT(F84,""/""),1,1),""00"")"),"2016-11")</f>
        <v>2016-11</v>
      </c>
      <c r="H84" s="5" t="s">
        <v>620</v>
      </c>
      <c r="I84" s="5" t="s">
        <v>621</v>
      </c>
      <c r="J84" s="5" t="s">
        <v>622</v>
      </c>
      <c r="K84" s="5" t="s">
        <v>168</v>
      </c>
      <c r="L84" s="5" t="s">
        <v>169</v>
      </c>
      <c r="M84" s="3">
        <v>2836990.8</v>
      </c>
      <c r="N84" s="5" t="s">
        <v>623</v>
      </c>
      <c r="O84" s="5" t="s">
        <v>624</v>
      </c>
    </row>
    <row r="85">
      <c r="A85" s="1" t="s">
        <v>53</v>
      </c>
      <c r="B85" s="1" t="s">
        <v>625</v>
      </c>
      <c r="C85" s="1" t="s">
        <v>213</v>
      </c>
      <c r="D85" s="1" t="s">
        <v>31</v>
      </c>
      <c r="E85" s="1" t="s">
        <v>44</v>
      </c>
      <c r="F85" s="5" t="s">
        <v>626</v>
      </c>
      <c r="G85" s="4" t="str">
        <f>IFERROR(__xludf.DUMMYFUNCTION("INDEX(SPLIT(F85,""/""),1,3)&amp;""-""&amp;TEXT(INDEX(SPLIT(F85,""/""),1,1),""00"")"),"2011-01")</f>
        <v>2011-01</v>
      </c>
      <c r="H85" s="5" t="s">
        <v>627</v>
      </c>
      <c r="I85" s="5" t="s">
        <v>628</v>
      </c>
      <c r="J85" s="5" t="s">
        <v>629</v>
      </c>
      <c r="K85" s="5" t="s">
        <v>218</v>
      </c>
      <c r="L85" s="5" t="s">
        <v>219</v>
      </c>
      <c r="M85" s="3">
        <v>623289.3</v>
      </c>
      <c r="N85" s="5" t="s">
        <v>630</v>
      </c>
      <c r="O85" s="5" t="s">
        <v>631</v>
      </c>
    </row>
    <row r="86">
      <c r="A86" s="1" t="s">
        <v>53</v>
      </c>
      <c r="B86" s="1" t="s">
        <v>632</v>
      </c>
      <c r="C86" s="1" t="s">
        <v>90</v>
      </c>
      <c r="D86" s="1" t="s">
        <v>31</v>
      </c>
      <c r="E86" s="1" t="s">
        <v>44</v>
      </c>
      <c r="F86" s="1" t="s">
        <v>633</v>
      </c>
      <c r="G86" s="4" t="str">
        <f>IFERROR(__xludf.DUMMYFUNCTION("INDEX(SPLIT(F86,""/""),1,3)&amp;""-""&amp;TEXT(INDEX(SPLIT(F86,""/""),1,1),""00"")"),"2012-03")</f>
        <v>2012-03</v>
      </c>
      <c r="H86" s="5" t="s">
        <v>634</v>
      </c>
      <c r="I86" s="5" t="s">
        <v>635</v>
      </c>
      <c r="J86" s="5" t="s">
        <v>636</v>
      </c>
      <c r="K86" s="5" t="s">
        <v>95</v>
      </c>
      <c r="L86" s="5" t="s">
        <v>96</v>
      </c>
      <c r="M86" s="3">
        <v>994765.42</v>
      </c>
      <c r="N86" s="5" t="s">
        <v>637</v>
      </c>
      <c r="O86" s="5" t="s">
        <v>638</v>
      </c>
    </row>
    <row r="87">
      <c r="A87" s="1" t="s">
        <v>568</v>
      </c>
      <c r="B87" s="1" t="s">
        <v>569</v>
      </c>
      <c r="C87" s="1" t="s">
        <v>100</v>
      </c>
      <c r="D87" s="1" t="s">
        <v>18</v>
      </c>
      <c r="E87" s="1" t="s">
        <v>44</v>
      </c>
      <c r="F87" s="1" t="s">
        <v>639</v>
      </c>
      <c r="G87" s="4" t="str">
        <f>IFERROR(__xludf.DUMMYFUNCTION("INDEX(SPLIT(F87,""/""),1,3)&amp;""-""&amp;TEXT(INDEX(SPLIT(F87,""/""),1,1),""00"")"),"2012-02")</f>
        <v>2012-02</v>
      </c>
      <c r="H87" s="5" t="s">
        <v>640</v>
      </c>
      <c r="I87" s="1" t="s">
        <v>641</v>
      </c>
      <c r="J87" s="5" t="s">
        <v>642</v>
      </c>
      <c r="K87" s="5" t="s">
        <v>105</v>
      </c>
      <c r="L87" s="5" t="s">
        <v>106</v>
      </c>
      <c r="M87" s="3">
        <v>524870.06</v>
      </c>
      <c r="N87" s="5" t="s">
        <v>643</v>
      </c>
      <c r="O87" s="5" t="s">
        <v>644</v>
      </c>
    </row>
    <row r="88">
      <c r="A88" s="1" t="s">
        <v>53</v>
      </c>
      <c r="B88" s="1" t="s">
        <v>54</v>
      </c>
      <c r="C88" s="1" t="s">
        <v>173</v>
      </c>
      <c r="D88" s="1" t="s">
        <v>18</v>
      </c>
      <c r="E88" s="1" t="s">
        <v>32</v>
      </c>
      <c r="F88" s="1" t="s">
        <v>645</v>
      </c>
      <c r="G88" s="4" t="str">
        <f>IFERROR(__xludf.DUMMYFUNCTION("INDEX(SPLIT(F88,""/""),1,3)&amp;""-""&amp;TEXT(INDEX(SPLIT(F88,""/""),1,1),""00"")"),"2011-01")</f>
        <v>2011-01</v>
      </c>
      <c r="H88" s="5" t="s">
        <v>646</v>
      </c>
      <c r="I88" s="1" t="s">
        <v>647</v>
      </c>
      <c r="J88" s="5" t="s">
        <v>648</v>
      </c>
      <c r="K88" s="5" t="s">
        <v>178</v>
      </c>
      <c r="L88" s="5" t="s">
        <v>179</v>
      </c>
      <c r="M88" s="3">
        <v>418936.05</v>
      </c>
      <c r="N88" s="5" t="s">
        <v>649</v>
      </c>
      <c r="O88" s="5" t="s">
        <v>650</v>
      </c>
    </row>
    <row r="89">
      <c r="A89" s="1" t="s">
        <v>53</v>
      </c>
      <c r="B89" s="1" t="s">
        <v>263</v>
      </c>
      <c r="C89" s="1" t="s">
        <v>17</v>
      </c>
      <c r="D89" s="1" t="s">
        <v>18</v>
      </c>
      <c r="E89" s="1" t="s">
        <v>80</v>
      </c>
      <c r="F89" s="5" t="s">
        <v>651</v>
      </c>
      <c r="G89" s="4" t="str">
        <f>IFERROR(__xludf.DUMMYFUNCTION("INDEX(SPLIT(F89,""/""),1,3)&amp;""-""&amp;TEXT(INDEX(SPLIT(F89,""/""),1,1),""00"")"),"2014-02")</f>
        <v>2014-02</v>
      </c>
      <c r="H89" s="5" t="s">
        <v>652</v>
      </c>
      <c r="I89" s="1" t="s">
        <v>653</v>
      </c>
      <c r="J89" s="5" t="s">
        <v>654</v>
      </c>
      <c r="K89" s="5" t="s">
        <v>24</v>
      </c>
      <c r="L89" s="5" t="s">
        <v>25</v>
      </c>
      <c r="M89" s="3">
        <v>1419101.52</v>
      </c>
      <c r="N89" s="5" t="s">
        <v>655</v>
      </c>
      <c r="O89" s="5" t="s">
        <v>656</v>
      </c>
    </row>
    <row r="90">
      <c r="A90" s="1" t="s">
        <v>311</v>
      </c>
      <c r="B90" s="1" t="s">
        <v>657</v>
      </c>
      <c r="C90" s="1" t="s">
        <v>55</v>
      </c>
      <c r="D90" s="1" t="s">
        <v>31</v>
      </c>
      <c r="E90" s="1" t="s">
        <v>80</v>
      </c>
      <c r="F90" s="1" t="s">
        <v>658</v>
      </c>
      <c r="G90" s="4" t="str">
        <f>IFERROR(__xludf.DUMMYFUNCTION("INDEX(SPLIT(F90,""/""),1,3)&amp;""-""&amp;TEXT(INDEX(SPLIT(F90,""/""),1,1),""00"")"),"2012-04")</f>
        <v>2012-04</v>
      </c>
      <c r="H90" s="5" t="s">
        <v>659</v>
      </c>
      <c r="I90" s="1" t="s">
        <v>660</v>
      </c>
      <c r="J90" s="5" t="s">
        <v>661</v>
      </c>
      <c r="K90" s="5" t="s">
        <v>60</v>
      </c>
      <c r="L90" s="5" t="s">
        <v>61</v>
      </c>
      <c r="M90" s="3">
        <v>4870.26</v>
      </c>
      <c r="N90" s="5" t="s">
        <v>662</v>
      </c>
      <c r="O90" s="5" t="s">
        <v>663</v>
      </c>
    </row>
    <row r="91">
      <c r="A91" s="1" t="s">
        <v>41</v>
      </c>
      <c r="B91" s="1" t="s">
        <v>664</v>
      </c>
      <c r="C91" s="1" t="s">
        <v>173</v>
      </c>
      <c r="D91" s="1" t="s">
        <v>18</v>
      </c>
      <c r="E91" s="1" t="s">
        <v>32</v>
      </c>
      <c r="F91" s="1" t="s">
        <v>665</v>
      </c>
      <c r="G91" s="4" t="str">
        <f>IFERROR(__xludf.DUMMYFUNCTION("INDEX(SPLIT(F91,""/""),1,3)&amp;""-""&amp;TEXT(INDEX(SPLIT(F91,""/""),1,1),""00"")"),"2016-10")</f>
        <v>2016-10</v>
      </c>
      <c r="H91" s="5" t="s">
        <v>666</v>
      </c>
      <c r="I91" s="1" t="s">
        <v>667</v>
      </c>
      <c r="J91" s="5" t="s">
        <v>668</v>
      </c>
      <c r="K91" s="5" t="s">
        <v>178</v>
      </c>
      <c r="L91" s="5" t="s">
        <v>179</v>
      </c>
      <c r="M91" s="3">
        <v>221117.0</v>
      </c>
      <c r="N91" s="5" t="s">
        <v>669</v>
      </c>
      <c r="O91" s="5" t="s">
        <v>670</v>
      </c>
    </row>
    <row r="92">
      <c r="A92" s="1" t="s">
        <v>53</v>
      </c>
      <c r="B92" s="1" t="s">
        <v>425</v>
      </c>
      <c r="C92" s="1" t="s">
        <v>43</v>
      </c>
      <c r="D92" s="1" t="s">
        <v>18</v>
      </c>
      <c r="E92" s="1" t="s">
        <v>19</v>
      </c>
      <c r="F92" s="5" t="s">
        <v>671</v>
      </c>
      <c r="G92" s="4" t="str">
        <f>IFERROR(__xludf.DUMMYFUNCTION("INDEX(SPLIT(F92,""/""),1,3)&amp;""-""&amp;TEXT(INDEX(SPLIT(F92,""/""),1,1),""00"")"),"2016-12")</f>
        <v>2016-12</v>
      </c>
      <c r="H92" s="5" t="s">
        <v>672</v>
      </c>
      <c r="I92" s="1" t="s">
        <v>673</v>
      </c>
      <c r="J92" s="5" t="s">
        <v>674</v>
      </c>
      <c r="K92" s="5" t="s">
        <v>49</v>
      </c>
      <c r="L92" s="5" t="s">
        <v>50</v>
      </c>
      <c r="M92" s="3">
        <v>617347.08</v>
      </c>
      <c r="N92" s="5" t="s">
        <v>675</v>
      </c>
      <c r="O92" s="5" t="s">
        <v>676</v>
      </c>
    </row>
    <row r="93">
      <c r="A93" s="1" t="s">
        <v>15</v>
      </c>
      <c r="B93" s="1" t="s">
        <v>284</v>
      </c>
      <c r="C93" s="1" t="s">
        <v>173</v>
      </c>
      <c r="D93" s="1" t="s">
        <v>18</v>
      </c>
      <c r="E93" s="1" t="s">
        <v>19</v>
      </c>
      <c r="F93" s="5" t="s">
        <v>677</v>
      </c>
      <c r="G93" s="4" t="str">
        <f>IFERROR(__xludf.DUMMYFUNCTION("INDEX(SPLIT(F93,""/""),1,3)&amp;""-""&amp;TEXT(INDEX(SPLIT(F93,""/""),1,1),""00"")"),"2014-07")</f>
        <v>2014-07</v>
      </c>
      <c r="H93" s="5" t="s">
        <v>678</v>
      </c>
      <c r="I93" s="5" t="s">
        <v>679</v>
      </c>
      <c r="J93" s="5" t="s">
        <v>680</v>
      </c>
      <c r="K93" s="5" t="s">
        <v>178</v>
      </c>
      <c r="L93" s="5" t="s">
        <v>179</v>
      </c>
      <c r="M93" s="3">
        <v>445508.05</v>
      </c>
      <c r="N93" s="5" t="s">
        <v>681</v>
      </c>
      <c r="O93" s="5" t="s">
        <v>682</v>
      </c>
    </row>
    <row r="94">
      <c r="A94" s="1" t="s">
        <v>311</v>
      </c>
      <c r="B94" s="1" t="s">
        <v>345</v>
      </c>
      <c r="C94" s="1" t="s">
        <v>43</v>
      </c>
      <c r="D94" s="1" t="s">
        <v>31</v>
      </c>
      <c r="E94" s="1" t="s">
        <v>80</v>
      </c>
      <c r="F94" s="1" t="s">
        <v>683</v>
      </c>
      <c r="G94" s="4" t="str">
        <f>IFERROR(__xludf.DUMMYFUNCTION("INDEX(SPLIT(F94,""/""),1,3)&amp;""-""&amp;TEXT(INDEX(SPLIT(F94,""/""),1,1),""00"")"),"2012-06")</f>
        <v>2012-06</v>
      </c>
      <c r="H94" s="5" t="s">
        <v>684</v>
      </c>
      <c r="I94" s="1" t="s">
        <v>685</v>
      </c>
      <c r="J94" s="5" t="s">
        <v>686</v>
      </c>
      <c r="K94" s="5" t="s">
        <v>49</v>
      </c>
      <c r="L94" s="5" t="s">
        <v>50</v>
      </c>
      <c r="M94" s="3">
        <v>1316095.41</v>
      </c>
      <c r="N94" s="5" t="s">
        <v>687</v>
      </c>
      <c r="O94" s="5" t="s">
        <v>688</v>
      </c>
    </row>
    <row r="95">
      <c r="A95" s="1" t="s">
        <v>41</v>
      </c>
      <c r="B95" s="1" t="s">
        <v>689</v>
      </c>
      <c r="C95" s="1" t="s">
        <v>163</v>
      </c>
      <c r="D95" s="1" t="s">
        <v>31</v>
      </c>
      <c r="E95" s="1" t="s">
        <v>19</v>
      </c>
      <c r="F95" s="1" t="s">
        <v>690</v>
      </c>
      <c r="G95" s="4" t="str">
        <f>IFERROR(__xludf.DUMMYFUNCTION("INDEX(SPLIT(F95,""/""),1,3)&amp;""-""&amp;TEXT(INDEX(SPLIT(F95,""/""),1,1),""00"")"),"2010-11")</f>
        <v>2010-11</v>
      </c>
      <c r="H95" s="5" t="s">
        <v>691</v>
      </c>
      <c r="I95" s="1" t="s">
        <v>692</v>
      </c>
      <c r="J95" s="5" t="s">
        <v>693</v>
      </c>
      <c r="K95" s="5" t="s">
        <v>168</v>
      </c>
      <c r="L95" s="5" t="s">
        <v>169</v>
      </c>
      <c r="M95" s="3">
        <v>3458252.0</v>
      </c>
      <c r="N95" s="5" t="s">
        <v>694</v>
      </c>
      <c r="O95" s="5" t="s">
        <v>695</v>
      </c>
    </row>
    <row r="96">
      <c r="A96" s="1" t="s">
        <v>28</v>
      </c>
      <c r="B96" s="1" t="s">
        <v>696</v>
      </c>
      <c r="C96" s="1" t="s">
        <v>173</v>
      </c>
      <c r="D96" s="1" t="s">
        <v>18</v>
      </c>
      <c r="E96" s="1" t="s">
        <v>32</v>
      </c>
      <c r="F96" s="5" t="s">
        <v>697</v>
      </c>
      <c r="G96" s="4" t="str">
        <f>IFERROR(__xludf.DUMMYFUNCTION("INDEX(SPLIT(F96,""/""),1,3)&amp;""-""&amp;TEXT(INDEX(SPLIT(F96,""/""),1,1),""00"")"),"2011-02")</f>
        <v>2011-02</v>
      </c>
      <c r="H96" s="5" t="s">
        <v>698</v>
      </c>
      <c r="I96" s="1" t="s">
        <v>699</v>
      </c>
      <c r="J96" s="5" t="s">
        <v>700</v>
      </c>
      <c r="K96" s="5" t="s">
        <v>178</v>
      </c>
      <c r="L96" s="5" t="s">
        <v>179</v>
      </c>
      <c r="M96" s="3">
        <v>387002.2</v>
      </c>
      <c r="N96" s="5" t="s">
        <v>701</v>
      </c>
      <c r="O96" s="5" t="s">
        <v>702</v>
      </c>
    </row>
    <row r="97">
      <c r="A97" s="1" t="s">
        <v>53</v>
      </c>
      <c r="B97" s="1" t="s">
        <v>250</v>
      </c>
      <c r="C97" s="1" t="s">
        <v>125</v>
      </c>
      <c r="D97" s="1" t="s">
        <v>31</v>
      </c>
      <c r="E97" s="1" t="s">
        <v>80</v>
      </c>
      <c r="F97" s="1" t="s">
        <v>703</v>
      </c>
      <c r="G97" s="4" t="str">
        <f>IFERROR(__xludf.DUMMYFUNCTION("INDEX(SPLIT(F97,""/""),1,3)&amp;""-""&amp;TEXT(INDEX(SPLIT(F97,""/""),1,1),""00"")"),"2011-07")</f>
        <v>2011-07</v>
      </c>
      <c r="H97" s="5" t="s">
        <v>704</v>
      </c>
      <c r="I97" s="5" t="s">
        <v>705</v>
      </c>
      <c r="J97" s="5" t="s">
        <v>706</v>
      </c>
      <c r="K97" s="5" t="s">
        <v>130</v>
      </c>
      <c r="L97" s="5" t="s">
        <v>131</v>
      </c>
      <c r="M97" s="3">
        <v>97040.64</v>
      </c>
      <c r="N97" s="5" t="s">
        <v>707</v>
      </c>
      <c r="O97" s="5" t="s">
        <v>708</v>
      </c>
    </row>
    <row r="98">
      <c r="A98" s="1" t="s">
        <v>116</v>
      </c>
      <c r="B98" s="1" t="s">
        <v>709</v>
      </c>
      <c r="C98" s="1" t="s">
        <v>55</v>
      </c>
      <c r="D98" s="1" t="s">
        <v>18</v>
      </c>
      <c r="E98" s="1" t="s">
        <v>44</v>
      </c>
      <c r="F98" s="5" t="s">
        <v>710</v>
      </c>
      <c r="G98" s="4" t="str">
        <f>IFERROR(__xludf.DUMMYFUNCTION("INDEX(SPLIT(F98,""/""),1,3)&amp;""-""&amp;TEXT(INDEX(SPLIT(F98,""/""),1,1),""00"")"),"2011-11")</f>
        <v>2011-11</v>
      </c>
      <c r="H98" s="5" t="s">
        <v>711</v>
      </c>
      <c r="I98" s="1" t="s">
        <v>712</v>
      </c>
      <c r="J98" s="5" t="s">
        <v>713</v>
      </c>
      <c r="K98" s="5" t="s">
        <v>60</v>
      </c>
      <c r="L98" s="5" t="s">
        <v>61</v>
      </c>
      <c r="M98" s="3">
        <v>58471.11</v>
      </c>
      <c r="N98" s="5" t="s">
        <v>714</v>
      </c>
      <c r="O98" s="5" t="s">
        <v>715</v>
      </c>
    </row>
    <row r="99">
      <c r="A99" s="1" t="s">
        <v>53</v>
      </c>
      <c r="B99" s="1" t="s">
        <v>425</v>
      </c>
      <c r="C99" s="1" t="s">
        <v>90</v>
      </c>
      <c r="D99" s="1" t="s">
        <v>18</v>
      </c>
      <c r="E99" s="1" t="s">
        <v>32</v>
      </c>
      <c r="F99" s="5" t="s">
        <v>716</v>
      </c>
      <c r="G99" s="4" t="str">
        <f>IFERROR(__xludf.DUMMYFUNCTION("INDEX(SPLIT(F99,""/""),1,3)&amp;""-""&amp;TEXT(INDEX(SPLIT(F99,""/""),1,1),""00"")"),"2016-06")</f>
        <v>2016-06</v>
      </c>
      <c r="H99" s="5" t="s">
        <v>717</v>
      </c>
      <c r="I99" s="1" t="s">
        <v>718</v>
      </c>
      <c r="J99" s="5" t="s">
        <v>719</v>
      </c>
      <c r="K99" s="5" t="s">
        <v>95</v>
      </c>
      <c r="L99" s="5" t="s">
        <v>96</v>
      </c>
      <c r="M99" s="3">
        <v>228779.1</v>
      </c>
      <c r="N99" s="5" t="s">
        <v>720</v>
      </c>
      <c r="O99" s="5" t="s">
        <v>721</v>
      </c>
    </row>
    <row r="100">
      <c r="A100" s="1" t="s">
        <v>568</v>
      </c>
      <c r="B100" s="1" t="s">
        <v>569</v>
      </c>
      <c r="C100" s="1" t="s">
        <v>100</v>
      </c>
      <c r="D100" s="1" t="s">
        <v>18</v>
      </c>
      <c r="E100" s="1" t="s">
        <v>80</v>
      </c>
      <c r="F100" s="1" t="s">
        <v>722</v>
      </c>
      <c r="G100" s="4" t="str">
        <f>IFERROR(__xludf.DUMMYFUNCTION("INDEX(SPLIT(F100,""/""),1,3)&amp;""-""&amp;TEXT(INDEX(SPLIT(F100,""/""),1,1),""00"")"),"2015-07")</f>
        <v>2015-07</v>
      </c>
      <c r="H100" s="5" t="s">
        <v>723</v>
      </c>
      <c r="I100" s="5" t="s">
        <v>724</v>
      </c>
      <c r="J100" s="5" t="s">
        <v>725</v>
      </c>
      <c r="K100" s="5" t="s">
        <v>105</v>
      </c>
      <c r="L100" s="5" t="s">
        <v>106</v>
      </c>
      <c r="M100" s="3">
        <v>471336.91</v>
      </c>
      <c r="N100" s="5" t="s">
        <v>726</v>
      </c>
      <c r="O100" s="5" t="s">
        <v>727</v>
      </c>
    </row>
    <row r="101">
      <c r="A101" s="1" t="s">
        <v>53</v>
      </c>
      <c r="B101" s="1" t="s">
        <v>728</v>
      </c>
      <c r="C101" s="1" t="s">
        <v>79</v>
      </c>
      <c r="D101" s="1" t="s">
        <v>18</v>
      </c>
      <c r="E101" s="1" t="s">
        <v>44</v>
      </c>
      <c r="F101" s="5" t="s">
        <v>729</v>
      </c>
      <c r="G101" s="4" t="str">
        <f>IFERROR(__xludf.DUMMYFUNCTION("INDEX(SPLIT(F101,""/""),1,3)&amp;""-""&amp;TEXT(INDEX(SPLIT(F101,""/""),1,1),""00"")"),"2012-02")</f>
        <v>2012-02</v>
      </c>
      <c r="H101" s="5" t="s">
        <v>730</v>
      </c>
      <c r="I101" s="1" t="s">
        <v>731</v>
      </c>
      <c r="J101" s="5" t="s">
        <v>732</v>
      </c>
      <c r="K101" s="5" t="s">
        <v>85</v>
      </c>
      <c r="L101" s="5" t="s">
        <v>86</v>
      </c>
      <c r="M101" s="3">
        <v>3586605.09</v>
      </c>
      <c r="N101" s="5" t="s">
        <v>733</v>
      </c>
      <c r="O101" s="5" t="s">
        <v>734</v>
      </c>
    </row>
    <row r="102">
      <c r="G102" s="6"/>
      <c r="M102" s="4"/>
    </row>
    <row r="103">
      <c r="G103" s="6"/>
      <c r="M103" s="4"/>
    </row>
    <row r="104">
      <c r="G104" s="6"/>
      <c r="M104" s="4"/>
    </row>
    <row r="105">
      <c r="G105" s="6"/>
      <c r="M105" s="4"/>
    </row>
    <row r="106">
      <c r="G106" s="6"/>
      <c r="M106" s="4"/>
    </row>
    <row r="107">
      <c r="G107" s="6"/>
      <c r="M107" s="4"/>
    </row>
    <row r="108">
      <c r="G108" s="6"/>
      <c r="M108" s="4"/>
    </row>
    <row r="109">
      <c r="G109" s="6"/>
      <c r="M109" s="4"/>
    </row>
    <row r="110">
      <c r="G110" s="6"/>
      <c r="M110" s="4"/>
    </row>
    <row r="111">
      <c r="G111" s="6"/>
      <c r="M111" s="4"/>
    </row>
    <row r="112">
      <c r="G112" s="6"/>
      <c r="M112" s="4"/>
    </row>
    <row r="113">
      <c r="G113" s="6"/>
      <c r="M113" s="4"/>
    </row>
    <row r="114">
      <c r="G114" s="6"/>
      <c r="M114" s="4"/>
    </row>
    <row r="115">
      <c r="G115" s="6"/>
      <c r="M115" s="4"/>
    </row>
    <row r="116">
      <c r="G116" s="6"/>
      <c r="M116" s="4"/>
    </row>
    <row r="117">
      <c r="G117" s="6"/>
      <c r="M117" s="4"/>
    </row>
    <row r="118">
      <c r="G118" s="6"/>
      <c r="M118" s="4"/>
    </row>
    <row r="119">
      <c r="G119" s="6"/>
      <c r="M119" s="4"/>
    </row>
    <row r="120">
      <c r="G120" s="6"/>
      <c r="M120" s="4"/>
    </row>
    <row r="121">
      <c r="G121" s="6"/>
      <c r="M121" s="4"/>
    </row>
    <row r="122">
      <c r="G122" s="6"/>
      <c r="M122" s="4"/>
    </row>
    <row r="123">
      <c r="G123" s="6"/>
      <c r="M123" s="4"/>
    </row>
    <row r="124">
      <c r="G124" s="6"/>
      <c r="M124" s="4"/>
    </row>
    <row r="125">
      <c r="G125" s="6"/>
      <c r="M125" s="4"/>
    </row>
    <row r="126">
      <c r="G126" s="6"/>
      <c r="M126" s="4"/>
    </row>
    <row r="127">
      <c r="G127" s="6"/>
      <c r="M127" s="4"/>
    </row>
    <row r="128">
      <c r="G128" s="6"/>
      <c r="M128" s="4"/>
    </row>
    <row r="129">
      <c r="G129" s="6"/>
      <c r="M129" s="4"/>
    </row>
    <row r="130">
      <c r="G130" s="6"/>
      <c r="M130" s="4"/>
    </row>
    <row r="131">
      <c r="G131" s="6"/>
      <c r="M131" s="4"/>
    </row>
    <row r="132">
      <c r="G132" s="6"/>
      <c r="M132" s="4"/>
    </row>
    <row r="133">
      <c r="G133" s="6"/>
      <c r="M133" s="4"/>
    </row>
    <row r="134">
      <c r="G134" s="6"/>
      <c r="M134" s="4"/>
    </row>
    <row r="135">
      <c r="G135" s="6"/>
      <c r="M135" s="4"/>
    </row>
    <row r="136">
      <c r="G136" s="6"/>
      <c r="M136" s="4"/>
    </row>
    <row r="137">
      <c r="G137" s="6"/>
      <c r="M137" s="4"/>
    </row>
    <row r="138">
      <c r="G138" s="6"/>
      <c r="M138" s="4"/>
    </row>
    <row r="139">
      <c r="G139" s="6"/>
      <c r="M139" s="4"/>
    </row>
    <row r="140">
      <c r="G140" s="6"/>
      <c r="M140" s="4"/>
    </row>
    <row r="141">
      <c r="G141" s="6"/>
      <c r="M141" s="4"/>
    </row>
    <row r="142">
      <c r="G142" s="6"/>
      <c r="M142" s="4"/>
    </row>
    <row r="143">
      <c r="G143" s="6"/>
      <c r="M143" s="4"/>
    </row>
    <row r="144">
      <c r="G144" s="6"/>
      <c r="M144" s="4"/>
    </row>
    <row r="145">
      <c r="G145" s="6"/>
      <c r="M145" s="4"/>
    </row>
    <row r="146">
      <c r="G146" s="6"/>
      <c r="M146" s="4"/>
    </row>
    <row r="147">
      <c r="G147" s="6"/>
      <c r="M147" s="4"/>
    </row>
    <row r="148">
      <c r="G148" s="6"/>
      <c r="M148" s="4"/>
    </row>
    <row r="149">
      <c r="G149" s="6"/>
      <c r="M149" s="4"/>
    </row>
    <row r="150">
      <c r="G150" s="6"/>
      <c r="M150" s="4"/>
    </row>
    <row r="151">
      <c r="G151" s="6"/>
      <c r="M151" s="4"/>
    </row>
    <row r="152">
      <c r="G152" s="6"/>
      <c r="M152" s="4"/>
    </row>
    <row r="153">
      <c r="G153" s="6"/>
      <c r="M153" s="4"/>
    </row>
    <row r="154">
      <c r="G154" s="6"/>
      <c r="M154" s="4"/>
    </row>
    <row r="155">
      <c r="G155" s="6"/>
      <c r="M155" s="4"/>
    </row>
    <row r="156">
      <c r="G156" s="6"/>
      <c r="M156" s="4"/>
    </row>
    <row r="157">
      <c r="G157" s="6"/>
      <c r="M157" s="4"/>
    </row>
    <row r="158">
      <c r="G158" s="6"/>
      <c r="M158" s="4"/>
    </row>
    <row r="159">
      <c r="G159" s="6"/>
      <c r="M159" s="4"/>
    </row>
    <row r="160">
      <c r="G160" s="6"/>
      <c r="M160" s="4"/>
    </row>
    <row r="161">
      <c r="G161" s="6"/>
      <c r="M161" s="4"/>
    </row>
    <row r="162">
      <c r="G162" s="6"/>
      <c r="M162" s="4"/>
    </row>
    <row r="163">
      <c r="G163" s="6"/>
      <c r="M163" s="4"/>
    </row>
    <row r="164">
      <c r="G164" s="6"/>
      <c r="M164" s="4"/>
    </row>
    <row r="165">
      <c r="G165" s="6"/>
      <c r="M165" s="4"/>
    </row>
    <row r="166">
      <c r="G166" s="6"/>
      <c r="M166" s="4"/>
    </row>
    <row r="167">
      <c r="G167" s="6"/>
      <c r="M167" s="4"/>
    </row>
    <row r="168">
      <c r="G168" s="6"/>
      <c r="M168" s="4"/>
    </row>
    <row r="169">
      <c r="G169" s="6"/>
      <c r="M169" s="4"/>
    </row>
    <row r="170">
      <c r="G170" s="6"/>
      <c r="M170" s="4"/>
    </row>
    <row r="171">
      <c r="G171" s="6"/>
      <c r="M171" s="4"/>
    </row>
    <row r="172">
      <c r="G172" s="6"/>
      <c r="M172" s="4"/>
    </row>
    <row r="173">
      <c r="G173" s="6"/>
      <c r="M173" s="4"/>
    </row>
    <row r="174">
      <c r="G174" s="6"/>
      <c r="M174" s="4"/>
    </row>
    <row r="175">
      <c r="G175" s="6"/>
      <c r="M175" s="4"/>
    </row>
    <row r="176">
      <c r="G176" s="6"/>
      <c r="M176" s="4"/>
    </row>
    <row r="177">
      <c r="G177" s="6"/>
      <c r="M177" s="4"/>
    </row>
    <row r="178">
      <c r="G178" s="6"/>
      <c r="M178" s="4"/>
    </row>
    <row r="179">
      <c r="G179" s="6"/>
      <c r="M179" s="4"/>
    </row>
    <row r="180">
      <c r="G180" s="6"/>
      <c r="M180" s="4"/>
    </row>
    <row r="181">
      <c r="G181" s="6"/>
      <c r="M181" s="4"/>
    </row>
    <row r="182">
      <c r="G182" s="6"/>
      <c r="M182" s="4"/>
    </row>
    <row r="183">
      <c r="G183" s="6"/>
      <c r="M183" s="4"/>
    </row>
    <row r="184">
      <c r="G184" s="6"/>
      <c r="M184" s="4"/>
    </row>
    <row r="185">
      <c r="G185" s="6"/>
      <c r="M185" s="4"/>
    </row>
    <row r="186">
      <c r="G186" s="6"/>
      <c r="M186" s="4"/>
    </row>
    <row r="187">
      <c r="G187" s="6"/>
      <c r="M187" s="4"/>
    </row>
    <row r="188">
      <c r="G188" s="6"/>
      <c r="M188" s="4"/>
    </row>
    <row r="189">
      <c r="G189" s="6"/>
      <c r="M189" s="4"/>
    </row>
    <row r="190">
      <c r="G190" s="6"/>
      <c r="M190" s="4"/>
    </row>
    <row r="191">
      <c r="G191" s="6"/>
      <c r="M191" s="4"/>
    </row>
    <row r="192">
      <c r="G192" s="6"/>
      <c r="M192" s="4"/>
    </row>
    <row r="193">
      <c r="G193" s="6"/>
      <c r="M193" s="4"/>
    </row>
    <row r="194">
      <c r="G194" s="6"/>
      <c r="M194" s="4"/>
    </row>
    <row r="195">
      <c r="G195" s="6"/>
      <c r="M195" s="4"/>
    </row>
    <row r="196">
      <c r="G196" s="6"/>
      <c r="M196" s="4"/>
    </row>
    <row r="197">
      <c r="G197" s="6"/>
      <c r="M197" s="4"/>
    </row>
    <row r="198">
      <c r="G198" s="6"/>
      <c r="M198" s="4"/>
    </row>
    <row r="199">
      <c r="G199" s="6"/>
      <c r="M199" s="4"/>
    </row>
    <row r="200">
      <c r="G200" s="6"/>
      <c r="M200" s="4"/>
    </row>
    <row r="201">
      <c r="G201" s="6"/>
      <c r="M201" s="4"/>
    </row>
    <row r="202">
      <c r="G202" s="6"/>
      <c r="M202" s="4"/>
    </row>
    <row r="203">
      <c r="G203" s="6"/>
      <c r="M203" s="4"/>
    </row>
    <row r="204">
      <c r="G204" s="6"/>
      <c r="M204" s="4"/>
    </row>
    <row r="205">
      <c r="G205" s="6"/>
      <c r="M205" s="4"/>
    </row>
    <row r="206">
      <c r="G206" s="6"/>
      <c r="M206" s="4"/>
    </row>
    <row r="207">
      <c r="G207" s="6"/>
      <c r="M207" s="4"/>
    </row>
    <row r="208">
      <c r="G208" s="6"/>
      <c r="M208" s="4"/>
    </row>
    <row r="209">
      <c r="G209" s="6"/>
      <c r="M209" s="4"/>
    </row>
    <row r="210">
      <c r="G210" s="6"/>
      <c r="M210" s="4"/>
    </row>
    <row r="211">
      <c r="G211" s="6"/>
      <c r="M211" s="4"/>
    </row>
    <row r="212">
      <c r="G212" s="6"/>
      <c r="M212" s="4"/>
    </row>
    <row r="213">
      <c r="G213" s="6"/>
      <c r="M213" s="4"/>
    </row>
    <row r="214">
      <c r="G214" s="6"/>
      <c r="M214" s="4"/>
    </row>
    <row r="215">
      <c r="G215" s="6"/>
      <c r="M215" s="4"/>
    </row>
    <row r="216">
      <c r="G216" s="6"/>
      <c r="M216" s="4"/>
    </row>
    <row r="217">
      <c r="G217" s="6"/>
      <c r="M217" s="4"/>
    </row>
    <row r="218">
      <c r="G218" s="6"/>
      <c r="M218" s="4"/>
    </row>
    <row r="219">
      <c r="G219" s="6"/>
      <c r="M219" s="4"/>
    </row>
    <row r="220">
      <c r="G220" s="6"/>
      <c r="M220" s="4"/>
    </row>
    <row r="221">
      <c r="G221" s="6"/>
      <c r="M221" s="4"/>
    </row>
    <row r="222">
      <c r="G222" s="6"/>
      <c r="M222" s="4"/>
    </row>
    <row r="223">
      <c r="G223" s="6"/>
      <c r="M223" s="4"/>
    </row>
    <row r="224">
      <c r="G224" s="6"/>
      <c r="M224" s="4"/>
    </row>
    <row r="225">
      <c r="G225" s="6"/>
      <c r="M225" s="4"/>
    </row>
    <row r="226">
      <c r="G226" s="6"/>
      <c r="M226" s="4"/>
    </row>
    <row r="227">
      <c r="G227" s="6"/>
      <c r="M227" s="4"/>
    </row>
    <row r="228">
      <c r="G228" s="6"/>
      <c r="M228" s="4"/>
    </row>
    <row r="229">
      <c r="G229" s="6"/>
      <c r="M229" s="4"/>
    </row>
    <row r="230">
      <c r="G230" s="6"/>
      <c r="M230" s="4"/>
    </row>
    <row r="231">
      <c r="G231" s="6"/>
      <c r="M231" s="4"/>
    </row>
    <row r="232">
      <c r="G232" s="6"/>
      <c r="M232" s="4"/>
    </row>
    <row r="233">
      <c r="G233" s="6"/>
      <c r="M233" s="4"/>
    </row>
    <row r="234">
      <c r="G234" s="6"/>
      <c r="M234" s="4"/>
    </row>
    <row r="235">
      <c r="G235" s="6"/>
      <c r="M235" s="4"/>
    </row>
    <row r="236">
      <c r="G236" s="6"/>
      <c r="M236" s="4"/>
    </row>
    <row r="237">
      <c r="G237" s="6"/>
      <c r="M237" s="4"/>
    </row>
    <row r="238">
      <c r="G238" s="6"/>
      <c r="M238" s="4"/>
    </row>
    <row r="239">
      <c r="G239" s="6"/>
      <c r="M239" s="4"/>
    </row>
    <row r="240">
      <c r="G240" s="6"/>
      <c r="M240" s="4"/>
    </row>
    <row r="241">
      <c r="G241" s="6"/>
      <c r="M241" s="4"/>
    </row>
    <row r="242">
      <c r="G242" s="6"/>
      <c r="M242" s="4"/>
    </row>
    <row r="243">
      <c r="G243" s="6"/>
      <c r="M243" s="4"/>
    </row>
    <row r="244">
      <c r="G244" s="6"/>
      <c r="M244" s="4"/>
    </row>
    <row r="245">
      <c r="G245" s="6"/>
      <c r="M245" s="4"/>
    </row>
    <row r="246">
      <c r="G246" s="6"/>
      <c r="M246" s="4"/>
    </row>
    <row r="247">
      <c r="G247" s="6"/>
      <c r="M247" s="4"/>
    </row>
    <row r="248">
      <c r="G248" s="6"/>
      <c r="M248" s="4"/>
    </row>
    <row r="249">
      <c r="G249" s="6"/>
      <c r="M249" s="4"/>
    </row>
    <row r="250">
      <c r="G250" s="6"/>
      <c r="M250" s="4"/>
    </row>
    <row r="251">
      <c r="G251" s="6"/>
      <c r="M251" s="4"/>
    </row>
    <row r="252">
      <c r="G252" s="6"/>
      <c r="M252" s="4"/>
    </row>
    <row r="253">
      <c r="G253" s="6"/>
      <c r="M253" s="4"/>
    </row>
    <row r="254">
      <c r="G254" s="6"/>
      <c r="M254" s="4"/>
    </row>
    <row r="255">
      <c r="G255" s="6"/>
      <c r="M255" s="4"/>
    </row>
    <row r="256">
      <c r="G256" s="6"/>
      <c r="M256" s="4"/>
    </row>
    <row r="257">
      <c r="G257" s="6"/>
      <c r="M257" s="4"/>
    </row>
    <row r="258">
      <c r="G258" s="6"/>
      <c r="M258" s="4"/>
    </row>
    <row r="259">
      <c r="G259" s="6"/>
      <c r="M259" s="4"/>
    </row>
    <row r="260">
      <c r="G260" s="6"/>
      <c r="M260" s="4"/>
    </row>
    <row r="261">
      <c r="G261" s="6"/>
      <c r="M261" s="4"/>
    </row>
    <row r="262">
      <c r="G262" s="6"/>
      <c r="M262" s="4"/>
    </row>
    <row r="263">
      <c r="G263" s="6"/>
      <c r="M263" s="4"/>
    </row>
    <row r="264">
      <c r="G264" s="6"/>
      <c r="M264" s="4"/>
    </row>
    <row r="265">
      <c r="G265" s="6"/>
      <c r="M265" s="4"/>
    </row>
    <row r="266">
      <c r="G266" s="6"/>
      <c r="M266" s="4"/>
    </row>
    <row r="267">
      <c r="G267" s="6"/>
      <c r="M267" s="4"/>
    </row>
    <row r="268">
      <c r="G268" s="6"/>
      <c r="M268" s="4"/>
    </row>
    <row r="269">
      <c r="G269" s="6"/>
      <c r="M269" s="4"/>
    </row>
    <row r="270">
      <c r="G270" s="6"/>
      <c r="M270" s="4"/>
    </row>
    <row r="271">
      <c r="G271" s="6"/>
      <c r="M271" s="4"/>
    </row>
    <row r="272">
      <c r="G272" s="6"/>
      <c r="M272" s="4"/>
    </row>
    <row r="273">
      <c r="G273" s="6"/>
      <c r="M273" s="4"/>
    </row>
    <row r="274">
      <c r="G274" s="6"/>
      <c r="M274" s="4"/>
    </row>
    <row r="275">
      <c r="G275" s="6"/>
      <c r="M275" s="4"/>
    </row>
    <row r="276">
      <c r="G276" s="6"/>
      <c r="M276" s="4"/>
    </row>
    <row r="277">
      <c r="G277" s="6"/>
      <c r="M277" s="4"/>
    </row>
    <row r="278">
      <c r="G278" s="6"/>
      <c r="M278" s="4"/>
    </row>
    <row r="279">
      <c r="G279" s="6"/>
      <c r="M279" s="4"/>
    </row>
    <row r="280">
      <c r="G280" s="6"/>
      <c r="M280" s="4"/>
    </row>
    <row r="281">
      <c r="G281" s="6"/>
      <c r="M281" s="4"/>
    </row>
    <row r="282">
      <c r="G282" s="6"/>
      <c r="M282" s="4"/>
    </row>
    <row r="283">
      <c r="G283" s="6"/>
      <c r="M283" s="4"/>
    </row>
    <row r="284">
      <c r="G284" s="6"/>
      <c r="M284" s="4"/>
    </row>
    <row r="285">
      <c r="G285" s="6"/>
      <c r="M285" s="4"/>
    </row>
    <row r="286">
      <c r="G286" s="6"/>
      <c r="M286" s="4"/>
    </row>
    <row r="287">
      <c r="G287" s="6"/>
      <c r="M287" s="4"/>
    </row>
    <row r="288">
      <c r="G288" s="6"/>
      <c r="M288" s="4"/>
    </row>
    <row r="289">
      <c r="G289" s="6"/>
      <c r="M289" s="4"/>
    </row>
    <row r="290">
      <c r="G290" s="6"/>
      <c r="M290" s="4"/>
    </row>
    <row r="291">
      <c r="G291" s="6"/>
      <c r="M291" s="4"/>
    </row>
    <row r="292">
      <c r="G292" s="6"/>
      <c r="M292" s="4"/>
    </row>
    <row r="293">
      <c r="G293" s="6"/>
      <c r="M293" s="4"/>
    </row>
    <row r="294">
      <c r="G294" s="6"/>
      <c r="M294" s="4"/>
    </row>
    <row r="295">
      <c r="G295" s="6"/>
      <c r="M295" s="4"/>
    </row>
    <row r="296">
      <c r="G296" s="6"/>
      <c r="M296" s="4"/>
    </row>
    <row r="297">
      <c r="G297" s="6"/>
      <c r="M297" s="4"/>
    </row>
    <row r="298">
      <c r="G298" s="6"/>
      <c r="M298" s="4"/>
    </row>
    <row r="299">
      <c r="G299" s="6"/>
      <c r="M299" s="4"/>
    </row>
    <row r="300">
      <c r="G300" s="6"/>
      <c r="M300" s="4"/>
    </row>
    <row r="301">
      <c r="G301" s="6"/>
      <c r="M301" s="4"/>
    </row>
    <row r="302">
      <c r="G302" s="6"/>
      <c r="M302" s="4"/>
    </row>
    <row r="303">
      <c r="G303" s="6"/>
      <c r="M303" s="4"/>
    </row>
    <row r="304">
      <c r="G304" s="6"/>
      <c r="M304" s="4"/>
    </row>
    <row r="305">
      <c r="G305" s="6"/>
      <c r="M305" s="4"/>
    </row>
    <row r="306">
      <c r="G306" s="6"/>
      <c r="M306" s="4"/>
    </row>
    <row r="307">
      <c r="G307" s="6"/>
      <c r="M307" s="4"/>
    </row>
    <row r="308">
      <c r="G308" s="6"/>
      <c r="M308" s="4"/>
    </row>
    <row r="309">
      <c r="G309" s="6"/>
      <c r="M309" s="4"/>
    </row>
    <row r="310">
      <c r="G310" s="6"/>
      <c r="M310" s="4"/>
    </row>
    <row r="311">
      <c r="G311" s="6"/>
      <c r="M311" s="4"/>
    </row>
    <row r="312">
      <c r="G312" s="6"/>
      <c r="M312" s="4"/>
    </row>
    <row r="313">
      <c r="G313" s="6"/>
      <c r="M313" s="4"/>
    </row>
    <row r="314">
      <c r="G314" s="6"/>
      <c r="M314" s="4"/>
    </row>
    <row r="315">
      <c r="G315" s="6"/>
      <c r="M315" s="4"/>
    </row>
    <row r="316">
      <c r="G316" s="6"/>
      <c r="M316" s="4"/>
    </row>
    <row r="317">
      <c r="G317" s="6"/>
      <c r="M317" s="4"/>
    </row>
    <row r="318">
      <c r="G318" s="6"/>
      <c r="M318" s="4"/>
    </row>
    <row r="319">
      <c r="G319" s="6"/>
      <c r="M319" s="4"/>
    </row>
    <row r="320">
      <c r="G320" s="6"/>
      <c r="M320" s="4"/>
    </row>
    <row r="321">
      <c r="G321" s="6"/>
      <c r="M321" s="4"/>
    </row>
    <row r="322">
      <c r="G322" s="6"/>
      <c r="M322" s="4"/>
    </row>
    <row r="323">
      <c r="G323" s="6"/>
      <c r="M323" s="4"/>
    </row>
    <row r="324">
      <c r="G324" s="6"/>
      <c r="M324" s="4"/>
    </row>
    <row r="325">
      <c r="G325" s="6"/>
      <c r="M325" s="4"/>
    </row>
    <row r="326">
      <c r="G326" s="6"/>
      <c r="M326" s="4"/>
    </row>
    <row r="327">
      <c r="G327" s="6"/>
      <c r="M327" s="4"/>
    </row>
    <row r="328">
      <c r="G328" s="6"/>
      <c r="M328" s="4"/>
    </row>
    <row r="329">
      <c r="G329" s="6"/>
      <c r="M329" s="4"/>
    </row>
    <row r="330">
      <c r="G330" s="6"/>
      <c r="M330" s="4"/>
    </row>
    <row r="331">
      <c r="G331" s="6"/>
      <c r="M331" s="4"/>
    </row>
    <row r="332">
      <c r="G332" s="6"/>
      <c r="M332" s="4"/>
    </row>
    <row r="333">
      <c r="G333" s="6"/>
      <c r="M333" s="4"/>
    </row>
    <row r="334">
      <c r="G334" s="6"/>
      <c r="M334" s="4"/>
    </row>
    <row r="335">
      <c r="G335" s="6"/>
      <c r="M335" s="4"/>
    </row>
    <row r="336">
      <c r="G336" s="6"/>
      <c r="M336" s="4"/>
    </row>
    <row r="337">
      <c r="G337" s="6"/>
      <c r="M337" s="4"/>
    </row>
    <row r="338">
      <c r="G338" s="6"/>
      <c r="M338" s="4"/>
    </row>
    <row r="339">
      <c r="G339" s="6"/>
      <c r="M339" s="4"/>
    </row>
    <row r="340">
      <c r="G340" s="6"/>
      <c r="M340" s="4"/>
    </row>
    <row r="341">
      <c r="G341" s="6"/>
      <c r="M341" s="4"/>
    </row>
    <row r="342">
      <c r="G342" s="6"/>
      <c r="M342" s="4"/>
    </row>
    <row r="343">
      <c r="G343" s="6"/>
      <c r="M343" s="4"/>
    </row>
    <row r="344">
      <c r="G344" s="6"/>
      <c r="M344" s="4"/>
    </row>
    <row r="345">
      <c r="G345" s="6"/>
      <c r="M345" s="4"/>
    </row>
    <row r="346">
      <c r="G346" s="6"/>
      <c r="M346" s="4"/>
    </row>
    <row r="347">
      <c r="G347" s="6"/>
      <c r="M347" s="4"/>
    </row>
    <row r="348">
      <c r="G348" s="6"/>
      <c r="M348" s="4"/>
    </row>
    <row r="349">
      <c r="G349" s="6"/>
      <c r="M349" s="4"/>
    </row>
    <row r="350">
      <c r="G350" s="6"/>
      <c r="M350" s="4"/>
    </row>
    <row r="351">
      <c r="G351" s="6"/>
      <c r="M351" s="4"/>
    </row>
    <row r="352">
      <c r="G352" s="6"/>
      <c r="M352" s="4"/>
    </row>
    <row r="353">
      <c r="G353" s="6"/>
      <c r="M353" s="4"/>
    </row>
    <row r="354">
      <c r="G354" s="6"/>
      <c r="M354" s="4"/>
    </row>
    <row r="355">
      <c r="G355" s="6"/>
      <c r="M355" s="4"/>
    </row>
    <row r="356">
      <c r="G356" s="6"/>
      <c r="M356" s="4"/>
    </row>
    <row r="357">
      <c r="G357" s="6"/>
      <c r="M357" s="4"/>
    </row>
    <row r="358">
      <c r="G358" s="6"/>
      <c r="M358" s="4"/>
    </row>
    <row r="359">
      <c r="G359" s="6"/>
      <c r="M359" s="4"/>
    </row>
    <row r="360">
      <c r="G360" s="6"/>
      <c r="M360" s="4"/>
    </row>
    <row r="361">
      <c r="G361" s="6"/>
      <c r="M361" s="4"/>
    </row>
    <row r="362">
      <c r="G362" s="6"/>
      <c r="M362" s="4"/>
    </row>
    <row r="363">
      <c r="G363" s="6"/>
      <c r="M363" s="4"/>
    </row>
    <row r="364">
      <c r="G364" s="6"/>
      <c r="M364" s="4"/>
    </row>
    <row r="365">
      <c r="G365" s="6"/>
      <c r="M365" s="4"/>
    </row>
    <row r="366">
      <c r="G366" s="6"/>
      <c r="M366" s="4"/>
    </row>
    <row r="367">
      <c r="G367" s="6"/>
      <c r="M367" s="4"/>
    </row>
    <row r="368">
      <c r="G368" s="6"/>
      <c r="M368" s="4"/>
    </row>
    <row r="369">
      <c r="G369" s="6"/>
      <c r="M369" s="4"/>
    </row>
    <row r="370">
      <c r="G370" s="6"/>
      <c r="M370" s="4"/>
    </row>
    <row r="371">
      <c r="G371" s="6"/>
      <c r="M371" s="4"/>
    </row>
    <row r="372">
      <c r="G372" s="6"/>
      <c r="M372" s="4"/>
    </row>
    <row r="373">
      <c r="G373" s="6"/>
      <c r="M373" s="4"/>
    </row>
    <row r="374">
      <c r="G374" s="6"/>
      <c r="M374" s="4"/>
    </row>
    <row r="375">
      <c r="G375" s="6"/>
      <c r="M375" s="4"/>
    </row>
    <row r="376">
      <c r="G376" s="6"/>
      <c r="M376" s="4"/>
    </row>
    <row r="377">
      <c r="G377" s="6"/>
      <c r="M377" s="4"/>
    </row>
    <row r="378">
      <c r="G378" s="6"/>
      <c r="M378" s="4"/>
    </row>
    <row r="379">
      <c r="G379" s="6"/>
      <c r="M379" s="4"/>
    </row>
    <row r="380">
      <c r="G380" s="6"/>
      <c r="M380" s="4"/>
    </row>
    <row r="381">
      <c r="G381" s="6"/>
      <c r="M381" s="4"/>
    </row>
    <row r="382">
      <c r="G382" s="6"/>
      <c r="M382" s="4"/>
    </row>
    <row r="383">
      <c r="G383" s="6"/>
      <c r="M383" s="4"/>
    </row>
    <row r="384">
      <c r="G384" s="6"/>
      <c r="M384" s="4"/>
    </row>
    <row r="385">
      <c r="G385" s="6"/>
      <c r="M385" s="4"/>
    </row>
    <row r="386">
      <c r="G386" s="6"/>
      <c r="M386" s="4"/>
    </row>
    <row r="387">
      <c r="G387" s="6"/>
      <c r="M387" s="4"/>
    </row>
    <row r="388">
      <c r="G388" s="6"/>
      <c r="M388" s="4"/>
    </row>
    <row r="389">
      <c r="G389" s="6"/>
      <c r="M389" s="4"/>
    </row>
    <row r="390">
      <c r="G390" s="6"/>
      <c r="M390" s="4"/>
    </row>
    <row r="391">
      <c r="G391" s="6"/>
      <c r="M391" s="4"/>
    </row>
    <row r="392">
      <c r="G392" s="6"/>
      <c r="M392" s="4"/>
    </row>
    <row r="393">
      <c r="G393" s="6"/>
      <c r="M393" s="4"/>
    </row>
    <row r="394">
      <c r="G394" s="6"/>
      <c r="M394" s="4"/>
    </row>
    <row r="395">
      <c r="G395" s="6"/>
      <c r="M395" s="4"/>
    </row>
    <row r="396">
      <c r="G396" s="6"/>
      <c r="M396" s="4"/>
    </row>
    <row r="397">
      <c r="G397" s="6"/>
      <c r="M397" s="4"/>
    </row>
    <row r="398">
      <c r="G398" s="6"/>
      <c r="M398" s="4"/>
    </row>
    <row r="399">
      <c r="G399" s="6"/>
      <c r="M399" s="4"/>
    </row>
    <row r="400">
      <c r="G400" s="6"/>
      <c r="M400" s="4"/>
    </row>
    <row r="401">
      <c r="G401" s="6"/>
      <c r="M401" s="4"/>
    </row>
    <row r="402">
      <c r="G402" s="6"/>
      <c r="M402" s="4"/>
    </row>
    <row r="403">
      <c r="G403" s="6"/>
      <c r="M403" s="4"/>
    </row>
    <row r="404">
      <c r="G404" s="6"/>
      <c r="M404" s="4"/>
    </row>
    <row r="405">
      <c r="G405" s="6"/>
      <c r="M405" s="4"/>
    </row>
    <row r="406">
      <c r="G406" s="6"/>
      <c r="M406" s="4"/>
    </row>
    <row r="407">
      <c r="G407" s="6"/>
      <c r="M407" s="4"/>
    </row>
    <row r="408">
      <c r="G408" s="6"/>
      <c r="M408" s="4"/>
    </row>
    <row r="409">
      <c r="G409" s="6"/>
      <c r="M409" s="4"/>
    </row>
    <row r="410">
      <c r="G410" s="6"/>
      <c r="M410" s="4"/>
    </row>
    <row r="411">
      <c r="G411" s="6"/>
      <c r="M411" s="4"/>
    </row>
    <row r="412">
      <c r="G412" s="6"/>
      <c r="M412" s="4"/>
    </row>
    <row r="413">
      <c r="G413" s="6"/>
      <c r="M413" s="4"/>
    </row>
    <row r="414">
      <c r="G414" s="6"/>
      <c r="M414" s="4"/>
    </row>
    <row r="415">
      <c r="G415" s="6"/>
      <c r="M415" s="4"/>
    </row>
    <row r="416">
      <c r="G416" s="6"/>
      <c r="M416" s="4"/>
    </row>
    <row r="417">
      <c r="G417" s="6"/>
      <c r="M417" s="4"/>
    </row>
    <row r="418">
      <c r="G418" s="6"/>
      <c r="M418" s="4"/>
    </row>
    <row r="419">
      <c r="G419" s="6"/>
      <c r="M419" s="4"/>
    </row>
    <row r="420">
      <c r="G420" s="6"/>
      <c r="M420" s="4"/>
    </row>
    <row r="421">
      <c r="G421" s="6"/>
      <c r="M421" s="4"/>
    </row>
    <row r="422">
      <c r="G422" s="6"/>
      <c r="M422" s="4"/>
    </row>
    <row r="423">
      <c r="G423" s="6"/>
      <c r="M423" s="4"/>
    </row>
    <row r="424">
      <c r="G424" s="6"/>
      <c r="M424" s="4"/>
    </row>
    <row r="425">
      <c r="G425" s="6"/>
      <c r="M425" s="4"/>
    </row>
    <row r="426">
      <c r="G426" s="6"/>
      <c r="M426" s="4"/>
    </row>
    <row r="427">
      <c r="G427" s="6"/>
      <c r="M427" s="4"/>
    </row>
    <row r="428">
      <c r="G428" s="6"/>
      <c r="M428" s="4"/>
    </row>
    <row r="429">
      <c r="G429" s="6"/>
      <c r="M429" s="4"/>
    </row>
    <row r="430">
      <c r="G430" s="6"/>
      <c r="M430" s="4"/>
    </row>
    <row r="431">
      <c r="G431" s="6"/>
      <c r="M431" s="4"/>
    </row>
    <row r="432">
      <c r="G432" s="6"/>
      <c r="M432" s="4"/>
    </row>
    <row r="433">
      <c r="G433" s="6"/>
      <c r="M433" s="4"/>
    </row>
    <row r="434">
      <c r="G434" s="6"/>
      <c r="M434" s="4"/>
    </row>
    <row r="435">
      <c r="G435" s="6"/>
      <c r="M435" s="4"/>
    </row>
    <row r="436">
      <c r="G436" s="6"/>
      <c r="M436" s="4"/>
    </row>
    <row r="437">
      <c r="G437" s="6"/>
      <c r="M437" s="4"/>
    </row>
    <row r="438">
      <c r="G438" s="6"/>
      <c r="M438" s="4"/>
    </row>
    <row r="439">
      <c r="G439" s="6"/>
      <c r="M439" s="4"/>
    </row>
    <row r="440">
      <c r="G440" s="6"/>
      <c r="M440" s="4"/>
    </row>
    <row r="441">
      <c r="G441" s="6"/>
      <c r="M441" s="4"/>
    </row>
    <row r="442">
      <c r="G442" s="6"/>
      <c r="M442" s="4"/>
    </row>
    <row r="443">
      <c r="G443" s="6"/>
      <c r="M443" s="4"/>
    </row>
    <row r="444">
      <c r="G444" s="6"/>
      <c r="M444" s="4"/>
    </row>
    <row r="445">
      <c r="G445" s="6"/>
      <c r="M445" s="4"/>
    </row>
    <row r="446">
      <c r="G446" s="6"/>
      <c r="M446" s="4"/>
    </row>
    <row r="447">
      <c r="G447" s="6"/>
      <c r="M447" s="4"/>
    </row>
    <row r="448">
      <c r="G448" s="6"/>
      <c r="M448" s="4"/>
    </row>
    <row r="449">
      <c r="G449" s="6"/>
      <c r="M449" s="4"/>
    </row>
    <row r="450">
      <c r="G450" s="6"/>
      <c r="M450" s="4"/>
    </row>
    <row r="451">
      <c r="G451" s="6"/>
      <c r="M451" s="4"/>
    </row>
    <row r="452">
      <c r="G452" s="6"/>
      <c r="M452" s="4"/>
    </row>
    <row r="453">
      <c r="G453" s="6"/>
      <c r="M453" s="4"/>
    </row>
    <row r="454">
      <c r="G454" s="6"/>
      <c r="M454" s="4"/>
    </row>
    <row r="455">
      <c r="G455" s="6"/>
      <c r="M455" s="4"/>
    </row>
    <row r="456">
      <c r="G456" s="6"/>
      <c r="M456" s="4"/>
    </row>
    <row r="457">
      <c r="G457" s="6"/>
      <c r="M457" s="4"/>
    </row>
    <row r="458">
      <c r="G458" s="6"/>
      <c r="M458" s="4"/>
    </row>
    <row r="459">
      <c r="G459" s="6"/>
      <c r="M459" s="4"/>
    </row>
    <row r="460">
      <c r="G460" s="6"/>
      <c r="M460" s="4"/>
    </row>
    <row r="461">
      <c r="G461" s="6"/>
      <c r="M461" s="4"/>
    </row>
    <row r="462">
      <c r="G462" s="6"/>
      <c r="M462" s="4"/>
    </row>
    <row r="463">
      <c r="G463" s="6"/>
      <c r="M463" s="4"/>
    </row>
    <row r="464">
      <c r="G464" s="6"/>
      <c r="M464" s="4"/>
    </row>
    <row r="465">
      <c r="G465" s="6"/>
      <c r="M465" s="4"/>
    </row>
    <row r="466">
      <c r="G466" s="6"/>
      <c r="M466" s="4"/>
    </row>
    <row r="467">
      <c r="G467" s="6"/>
      <c r="M467" s="4"/>
    </row>
    <row r="468">
      <c r="G468" s="6"/>
      <c r="M468" s="4"/>
    </row>
    <row r="469">
      <c r="G469" s="6"/>
      <c r="M469" s="4"/>
    </row>
    <row r="470">
      <c r="G470" s="6"/>
      <c r="M470" s="4"/>
    </row>
    <row r="471">
      <c r="G471" s="6"/>
      <c r="M471" s="4"/>
    </row>
    <row r="472">
      <c r="G472" s="6"/>
      <c r="M472" s="4"/>
    </row>
    <row r="473">
      <c r="G473" s="6"/>
      <c r="M473" s="4"/>
    </row>
    <row r="474">
      <c r="G474" s="6"/>
      <c r="M474" s="4"/>
    </row>
    <row r="475">
      <c r="G475" s="6"/>
      <c r="M475" s="4"/>
    </row>
    <row r="476">
      <c r="G476" s="6"/>
      <c r="M476" s="4"/>
    </row>
    <row r="477">
      <c r="G477" s="6"/>
      <c r="M477" s="4"/>
    </row>
    <row r="478">
      <c r="G478" s="6"/>
      <c r="M478" s="4"/>
    </row>
    <row r="479">
      <c r="G479" s="6"/>
      <c r="M479" s="4"/>
    </row>
    <row r="480">
      <c r="G480" s="6"/>
      <c r="M480" s="4"/>
    </row>
    <row r="481">
      <c r="G481" s="6"/>
      <c r="M481" s="4"/>
    </row>
    <row r="482">
      <c r="G482" s="6"/>
      <c r="M482" s="4"/>
    </row>
    <row r="483">
      <c r="G483" s="6"/>
      <c r="M483" s="4"/>
    </row>
    <row r="484">
      <c r="G484" s="6"/>
      <c r="M484" s="4"/>
    </row>
    <row r="485">
      <c r="G485" s="6"/>
      <c r="M485" s="4"/>
    </row>
    <row r="486">
      <c r="G486" s="6"/>
      <c r="M486" s="4"/>
    </row>
    <row r="487">
      <c r="G487" s="6"/>
      <c r="M487" s="4"/>
    </row>
    <row r="488">
      <c r="G488" s="6"/>
      <c r="M488" s="4"/>
    </row>
    <row r="489">
      <c r="G489" s="6"/>
      <c r="M489" s="4"/>
    </row>
    <row r="490">
      <c r="G490" s="6"/>
      <c r="M490" s="4"/>
    </row>
    <row r="491">
      <c r="G491" s="6"/>
      <c r="M491" s="4"/>
    </row>
    <row r="492">
      <c r="G492" s="6"/>
      <c r="M492" s="4"/>
    </row>
    <row r="493">
      <c r="G493" s="6"/>
      <c r="M493" s="4"/>
    </row>
    <row r="494">
      <c r="G494" s="6"/>
      <c r="M494" s="4"/>
    </row>
    <row r="495">
      <c r="G495" s="6"/>
      <c r="M495" s="4"/>
    </row>
    <row r="496">
      <c r="G496" s="6"/>
      <c r="M496" s="4"/>
    </row>
    <row r="497">
      <c r="G497" s="6"/>
      <c r="M497" s="4"/>
    </row>
    <row r="498">
      <c r="G498" s="6"/>
      <c r="M498" s="4"/>
    </row>
    <row r="499">
      <c r="G499" s="6"/>
      <c r="M499" s="4"/>
    </row>
    <row r="500">
      <c r="G500" s="6"/>
      <c r="M500" s="4"/>
    </row>
    <row r="501">
      <c r="G501" s="6"/>
      <c r="M501" s="4"/>
    </row>
    <row r="502">
      <c r="G502" s="6"/>
      <c r="M502" s="4"/>
    </row>
    <row r="503">
      <c r="G503" s="6"/>
      <c r="M503" s="4"/>
    </row>
    <row r="504">
      <c r="G504" s="6"/>
      <c r="M504" s="4"/>
    </row>
    <row r="505">
      <c r="G505" s="6"/>
      <c r="M505" s="4"/>
    </row>
    <row r="506">
      <c r="G506" s="6"/>
      <c r="M506" s="4"/>
    </row>
    <row r="507">
      <c r="G507" s="6"/>
      <c r="M507" s="4"/>
    </row>
    <row r="508">
      <c r="G508" s="6"/>
      <c r="M508" s="4"/>
    </row>
    <row r="509">
      <c r="G509" s="6"/>
      <c r="M509" s="4"/>
    </row>
    <row r="510">
      <c r="G510" s="6"/>
      <c r="M510" s="4"/>
    </row>
    <row r="511">
      <c r="G511" s="6"/>
      <c r="M511" s="4"/>
    </row>
    <row r="512">
      <c r="G512" s="6"/>
      <c r="M512" s="4"/>
    </row>
    <row r="513">
      <c r="G513" s="6"/>
      <c r="M513" s="4"/>
    </row>
    <row r="514">
      <c r="G514" s="6"/>
      <c r="M514" s="4"/>
    </row>
    <row r="515">
      <c r="G515" s="6"/>
      <c r="M515" s="4"/>
    </row>
    <row r="516">
      <c r="G516" s="6"/>
      <c r="M516" s="4"/>
    </row>
    <row r="517">
      <c r="G517" s="6"/>
      <c r="M517" s="4"/>
    </row>
    <row r="518">
      <c r="G518" s="6"/>
      <c r="M518" s="4"/>
    </row>
    <row r="519">
      <c r="G519" s="6"/>
      <c r="M519" s="4"/>
    </row>
    <row r="520">
      <c r="G520" s="6"/>
      <c r="M520" s="4"/>
    </row>
    <row r="521">
      <c r="G521" s="6"/>
      <c r="M521" s="4"/>
    </row>
    <row r="522">
      <c r="G522" s="6"/>
      <c r="M522" s="4"/>
    </row>
    <row r="523">
      <c r="G523" s="6"/>
      <c r="M523" s="4"/>
    </row>
    <row r="524">
      <c r="G524" s="6"/>
      <c r="M524" s="4"/>
    </row>
    <row r="525">
      <c r="G525" s="6"/>
      <c r="M525" s="4"/>
    </row>
    <row r="526">
      <c r="G526" s="6"/>
      <c r="M526" s="4"/>
    </row>
    <row r="527">
      <c r="G527" s="6"/>
      <c r="M527" s="4"/>
    </row>
    <row r="528">
      <c r="G528" s="6"/>
      <c r="M528" s="4"/>
    </row>
    <row r="529">
      <c r="G529" s="6"/>
      <c r="M529" s="4"/>
    </row>
    <row r="530">
      <c r="G530" s="6"/>
      <c r="M530" s="4"/>
    </row>
    <row r="531">
      <c r="G531" s="6"/>
      <c r="M531" s="4"/>
    </row>
    <row r="532">
      <c r="G532" s="6"/>
      <c r="M532" s="4"/>
    </row>
    <row r="533">
      <c r="G533" s="6"/>
      <c r="M533" s="4"/>
    </row>
    <row r="534">
      <c r="G534" s="6"/>
      <c r="M534" s="4"/>
    </row>
    <row r="535">
      <c r="G535" s="6"/>
      <c r="M535" s="4"/>
    </row>
    <row r="536">
      <c r="G536" s="6"/>
      <c r="M536" s="4"/>
    </row>
    <row r="537">
      <c r="G537" s="6"/>
      <c r="M537" s="4"/>
    </row>
    <row r="538">
      <c r="G538" s="6"/>
      <c r="M538" s="4"/>
    </row>
    <row r="539">
      <c r="G539" s="6"/>
      <c r="M539" s="4"/>
    </row>
    <row r="540">
      <c r="G540" s="6"/>
      <c r="M540" s="4"/>
    </row>
    <row r="541">
      <c r="G541" s="6"/>
      <c r="M541" s="4"/>
    </row>
    <row r="542">
      <c r="G542" s="6"/>
      <c r="M542" s="4"/>
    </row>
    <row r="543">
      <c r="G543" s="6"/>
      <c r="M543" s="4"/>
    </row>
    <row r="544">
      <c r="G544" s="6"/>
      <c r="M544" s="4"/>
    </row>
    <row r="545">
      <c r="G545" s="6"/>
      <c r="M545" s="4"/>
    </row>
    <row r="546">
      <c r="G546" s="6"/>
      <c r="M546" s="4"/>
    </row>
    <row r="547">
      <c r="G547" s="6"/>
      <c r="M547" s="4"/>
    </row>
    <row r="548">
      <c r="G548" s="6"/>
      <c r="M548" s="4"/>
    </row>
    <row r="549">
      <c r="G549" s="6"/>
      <c r="M549" s="4"/>
    </row>
    <row r="550">
      <c r="G550" s="6"/>
      <c r="M550" s="4"/>
    </row>
    <row r="551">
      <c r="G551" s="6"/>
      <c r="M551" s="4"/>
    </row>
    <row r="552">
      <c r="G552" s="6"/>
      <c r="M552" s="4"/>
    </row>
    <row r="553">
      <c r="G553" s="6"/>
      <c r="M553" s="4"/>
    </row>
    <row r="554">
      <c r="G554" s="6"/>
      <c r="M554" s="4"/>
    </row>
    <row r="555">
      <c r="G555" s="6"/>
      <c r="M555" s="4"/>
    </row>
    <row r="556">
      <c r="G556" s="6"/>
      <c r="M556" s="4"/>
    </row>
    <row r="557">
      <c r="G557" s="6"/>
      <c r="M557" s="4"/>
    </row>
    <row r="558">
      <c r="G558" s="6"/>
      <c r="M558" s="4"/>
    </row>
    <row r="559">
      <c r="G559" s="6"/>
      <c r="M559" s="4"/>
    </row>
    <row r="560">
      <c r="G560" s="6"/>
      <c r="M560" s="4"/>
    </row>
    <row r="561">
      <c r="G561" s="6"/>
      <c r="M561" s="4"/>
    </row>
    <row r="562">
      <c r="G562" s="6"/>
      <c r="M562" s="4"/>
    </row>
    <row r="563">
      <c r="G563" s="6"/>
      <c r="M563" s="4"/>
    </row>
    <row r="564">
      <c r="G564" s="6"/>
      <c r="M564" s="4"/>
    </row>
    <row r="565">
      <c r="G565" s="6"/>
      <c r="M565" s="4"/>
    </row>
    <row r="566">
      <c r="G566" s="6"/>
      <c r="M566" s="4"/>
    </row>
    <row r="567">
      <c r="G567" s="6"/>
      <c r="M567" s="4"/>
    </row>
    <row r="568">
      <c r="G568" s="6"/>
      <c r="M568" s="4"/>
    </row>
    <row r="569">
      <c r="G569" s="6"/>
      <c r="M569" s="4"/>
    </row>
    <row r="570">
      <c r="G570" s="6"/>
      <c r="M570" s="4"/>
    </row>
    <row r="571">
      <c r="G571" s="6"/>
      <c r="M571" s="4"/>
    </row>
    <row r="572">
      <c r="G572" s="6"/>
      <c r="M572" s="4"/>
    </row>
    <row r="573">
      <c r="G573" s="6"/>
      <c r="M573" s="4"/>
    </row>
    <row r="574">
      <c r="G574" s="6"/>
      <c r="M574" s="4"/>
    </row>
    <row r="575">
      <c r="G575" s="6"/>
      <c r="M575" s="4"/>
    </row>
    <row r="576">
      <c r="G576" s="6"/>
      <c r="M576" s="4"/>
    </row>
    <row r="577">
      <c r="G577" s="6"/>
      <c r="M577" s="4"/>
    </row>
    <row r="578">
      <c r="G578" s="6"/>
      <c r="M578" s="4"/>
    </row>
    <row r="579">
      <c r="G579" s="6"/>
      <c r="M579" s="4"/>
    </row>
    <row r="580">
      <c r="G580" s="6"/>
      <c r="M580" s="4"/>
    </row>
    <row r="581">
      <c r="G581" s="6"/>
      <c r="M581" s="4"/>
    </row>
    <row r="582">
      <c r="G582" s="6"/>
      <c r="M582" s="4"/>
    </row>
    <row r="583">
      <c r="G583" s="6"/>
      <c r="M583" s="4"/>
    </row>
    <row r="584">
      <c r="G584" s="6"/>
      <c r="M584" s="4"/>
    </row>
    <row r="585">
      <c r="G585" s="6"/>
      <c r="M585" s="4"/>
    </row>
    <row r="586">
      <c r="G586" s="6"/>
      <c r="M586" s="4"/>
    </row>
    <row r="587">
      <c r="G587" s="6"/>
      <c r="M587" s="4"/>
    </row>
    <row r="588">
      <c r="G588" s="6"/>
      <c r="M588" s="4"/>
    </row>
    <row r="589">
      <c r="G589" s="6"/>
      <c r="M589" s="4"/>
    </row>
    <row r="590">
      <c r="G590" s="6"/>
      <c r="M590" s="4"/>
    </row>
    <row r="591">
      <c r="G591" s="6"/>
      <c r="M591" s="4"/>
    </row>
    <row r="592">
      <c r="G592" s="6"/>
      <c r="M592" s="4"/>
    </row>
    <row r="593">
      <c r="G593" s="6"/>
      <c r="M593" s="4"/>
    </row>
    <row r="594">
      <c r="G594" s="6"/>
      <c r="M594" s="4"/>
    </row>
    <row r="595">
      <c r="G595" s="6"/>
      <c r="M595" s="4"/>
    </row>
    <row r="596">
      <c r="G596" s="6"/>
      <c r="M596" s="4"/>
    </row>
    <row r="597">
      <c r="G597" s="6"/>
      <c r="M597" s="4"/>
    </row>
    <row r="598">
      <c r="G598" s="6"/>
      <c r="M598" s="4"/>
    </row>
    <row r="599">
      <c r="G599" s="6"/>
      <c r="M599" s="4"/>
    </row>
    <row r="600">
      <c r="G600" s="6"/>
      <c r="M600" s="4"/>
    </row>
    <row r="601">
      <c r="G601" s="6"/>
      <c r="M601" s="4"/>
    </row>
    <row r="602">
      <c r="G602" s="6"/>
      <c r="M602" s="4"/>
    </row>
    <row r="603">
      <c r="G603" s="6"/>
      <c r="M603" s="4"/>
    </row>
    <row r="604">
      <c r="G604" s="6"/>
      <c r="M604" s="4"/>
    </row>
    <row r="605">
      <c r="G605" s="6"/>
      <c r="M605" s="4"/>
    </row>
    <row r="606">
      <c r="G606" s="6"/>
      <c r="M606" s="4"/>
    </row>
    <row r="607">
      <c r="G607" s="6"/>
      <c r="M607" s="4"/>
    </row>
    <row r="608">
      <c r="G608" s="6"/>
      <c r="M608" s="4"/>
    </row>
    <row r="609">
      <c r="G609" s="6"/>
      <c r="M609" s="4"/>
    </row>
    <row r="610">
      <c r="G610" s="6"/>
      <c r="M610" s="4"/>
    </row>
    <row r="611">
      <c r="G611" s="6"/>
      <c r="M611" s="4"/>
    </row>
    <row r="612">
      <c r="G612" s="6"/>
      <c r="M612" s="4"/>
    </row>
    <row r="613">
      <c r="G613" s="6"/>
      <c r="M613" s="4"/>
    </row>
    <row r="614">
      <c r="G614" s="6"/>
      <c r="M614" s="4"/>
    </row>
    <row r="615">
      <c r="G615" s="6"/>
      <c r="M615" s="4"/>
    </row>
    <row r="616">
      <c r="G616" s="6"/>
      <c r="M616" s="4"/>
    </row>
    <row r="617">
      <c r="G617" s="6"/>
      <c r="M617" s="4"/>
    </row>
    <row r="618">
      <c r="G618" s="6"/>
      <c r="M618" s="4"/>
    </row>
    <row r="619">
      <c r="G619" s="6"/>
      <c r="M619" s="4"/>
    </row>
    <row r="620">
      <c r="G620" s="6"/>
      <c r="M620" s="4"/>
    </row>
    <row r="621">
      <c r="G621" s="6"/>
      <c r="M621" s="4"/>
    </row>
    <row r="622">
      <c r="G622" s="6"/>
      <c r="M622" s="4"/>
    </row>
    <row r="623">
      <c r="G623" s="6"/>
      <c r="M623" s="4"/>
    </row>
    <row r="624">
      <c r="G624" s="6"/>
      <c r="M624" s="4"/>
    </row>
    <row r="625">
      <c r="G625" s="6"/>
      <c r="M625" s="4"/>
    </row>
    <row r="626">
      <c r="G626" s="6"/>
      <c r="M626" s="4"/>
    </row>
    <row r="627">
      <c r="G627" s="6"/>
      <c r="M627" s="4"/>
    </row>
    <row r="628">
      <c r="G628" s="6"/>
      <c r="M628" s="4"/>
    </row>
    <row r="629">
      <c r="G629" s="6"/>
      <c r="M629" s="4"/>
    </row>
    <row r="630">
      <c r="G630" s="6"/>
      <c r="M630" s="4"/>
    </row>
    <row r="631">
      <c r="G631" s="6"/>
      <c r="M631" s="4"/>
    </row>
    <row r="632">
      <c r="G632" s="6"/>
      <c r="M632" s="4"/>
    </row>
    <row r="633">
      <c r="G633" s="6"/>
      <c r="M633" s="4"/>
    </row>
    <row r="634">
      <c r="G634" s="6"/>
      <c r="M634" s="4"/>
    </row>
    <row r="635">
      <c r="G635" s="6"/>
      <c r="M635" s="4"/>
    </row>
    <row r="636">
      <c r="G636" s="6"/>
      <c r="M636" s="4"/>
    </row>
    <row r="637">
      <c r="G637" s="6"/>
      <c r="M637" s="4"/>
    </row>
    <row r="638">
      <c r="G638" s="6"/>
      <c r="M638" s="4"/>
    </row>
    <row r="639">
      <c r="G639" s="6"/>
      <c r="M639" s="4"/>
    </row>
    <row r="640">
      <c r="G640" s="6"/>
      <c r="M640" s="4"/>
    </row>
    <row r="641">
      <c r="G641" s="6"/>
      <c r="M641" s="4"/>
    </row>
    <row r="642">
      <c r="G642" s="6"/>
      <c r="M642" s="4"/>
    </row>
    <row r="643">
      <c r="G643" s="6"/>
      <c r="M643" s="4"/>
    </row>
    <row r="644">
      <c r="G644" s="6"/>
      <c r="M644" s="4"/>
    </row>
    <row r="645">
      <c r="G645" s="6"/>
      <c r="M645" s="4"/>
    </row>
    <row r="646">
      <c r="G646" s="6"/>
      <c r="M646" s="4"/>
    </row>
    <row r="647">
      <c r="G647" s="6"/>
      <c r="M647" s="4"/>
    </row>
    <row r="648">
      <c r="G648" s="6"/>
      <c r="M648" s="4"/>
    </row>
    <row r="649">
      <c r="G649" s="6"/>
      <c r="M649" s="4"/>
    </row>
    <row r="650">
      <c r="G650" s="6"/>
      <c r="M650" s="4"/>
    </row>
    <row r="651">
      <c r="G651" s="6"/>
      <c r="M651" s="4"/>
    </row>
    <row r="652">
      <c r="G652" s="6"/>
      <c r="M652" s="4"/>
    </row>
    <row r="653">
      <c r="G653" s="6"/>
      <c r="M653" s="4"/>
    </row>
    <row r="654">
      <c r="G654" s="6"/>
      <c r="M654" s="4"/>
    </row>
    <row r="655">
      <c r="G655" s="6"/>
      <c r="M655" s="4"/>
    </row>
    <row r="656">
      <c r="G656" s="6"/>
      <c r="M656" s="4"/>
    </row>
    <row r="657">
      <c r="G657" s="6"/>
      <c r="M657" s="4"/>
    </row>
    <row r="658">
      <c r="G658" s="6"/>
      <c r="M658" s="4"/>
    </row>
    <row r="659">
      <c r="G659" s="6"/>
      <c r="M659" s="4"/>
    </row>
    <row r="660">
      <c r="G660" s="6"/>
      <c r="M660" s="4"/>
    </row>
    <row r="661">
      <c r="G661" s="6"/>
      <c r="M661" s="4"/>
    </row>
    <row r="662">
      <c r="G662" s="6"/>
      <c r="M662" s="4"/>
    </row>
    <row r="663">
      <c r="G663" s="6"/>
      <c r="M663" s="4"/>
    </row>
    <row r="664">
      <c r="G664" s="6"/>
      <c r="M664" s="4"/>
    </row>
    <row r="665">
      <c r="G665" s="6"/>
      <c r="M665" s="4"/>
    </row>
    <row r="666">
      <c r="G666" s="6"/>
      <c r="M666" s="4"/>
    </row>
    <row r="667">
      <c r="G667" s="6"/>
      <c r="M667" s="4"/>
    </row>
    <row r="668">
      <c r="G668" s="6"/>
      <c r="M668" s="4"/>
    </row>
    <row r="669">
      <c r="G669" s="6"/>
      <c r="M669" s="4"/>
    </row>
    <row r="670">
      <c r="G670" s="6"/>
      <c r="M670" s="4"/>
    </row>
    <row r="671">
      <c r="G671" s="6"/>
      <c r="M671" s="4"/>
    </row>
    <row r="672">
      <c r="G672" s="6"/>
      <c r="M672" s="4"/>
    </row>
    <row r="673">
      <c r="G673" s="6"/>
      <c r="M673" s="4"/>
    </row>
    <row r="674">
      <c r="G674" s="6"/>
      <c r="M674" s="4"/>
    </row>
    <row r="675">
      <c r="G675" s="6"/>
      <c r="M675" s="4"/>
    </row>
    <row r="676">
      <c r="G676" s="6"/>
      <c r="M676" s="4"/>
    </row>
    <row r="677">
      <c r="G677" s="6"/>
      <c r="M677" s="4"/>
    </row>
    <row r="678">
      <c r="G678" s="6"/>
      <c r="M678" s="4"/>
    </row>
    <row r="679">
      <c r="G679" s="6"/>
      <c r="M679" s="4"/>
    </row>
    <row r="680">
      <c r="G680" s="6"/>
      <c r="M680" s="4"/>
    </row>
    <row r="681">
      <c r="G681" s="6"/>
      <c r="M681" s="4"/>
    </row>
    <row r="682">
      <c r="G682" s="6"/>
      <c r="M682" s="4"/>
    </row>
    <row r="683">
      <c r="G683" s="6"/>
      <c r="M683" s="4"/>
    </row>
    <row r="684">
      <c r="G684" s="6"/>
      <c r="M684" s="4"/>
    </row>
    <row r="685">
      <c r="G685" s="6"/>
      <c r="M685" s="4"/>
    </row>
    <row r="686">
      <c r="G686" s="6"/>
      <c r="M686" s="4"/>
    </row>
    <row r="687">
      <c r="G687" s="6"/>
      <c r="M687" s="4"/>
    </row>
    <row r="688">
      <c r="G688" s="6"/>
      <c r="M688" s="4"/>
    </row>
    <row r="689">
      <c r="G689" s="6"/>
      <c r="M689" s="4"/>
    </row>
    <row r="690">
      <c r="G690" s="6"/>
      <c r="M690" s="4"/>
    </row>
    <row r="691">
      <c r="G691" s="6"/>
      <c r="M691" s="4"/>
    </row>
    <row r="692">
      <c r="G692" s="6"/>
      <c r="M692" s="4"/>
    </row>
    <row r="693">
      <c r="G693" s="6"/>
      <c r="M693" s="4"/>
    </row>
    <row r="694">
      <c r="G694" s="6"/>
      <c r="M694" s="4"/>
    </row>
    <row r="695">
      <c r="G695" s="6"/>
      <c r="M695" s="4"/>
    </row>
    <row r="696">
      <c r="G696" s="6"/>
      <c r="M696" s="4"/>
    </row>
    <row r="697">
      <c r="G697" s="6"/>
      <c r="M697" s="4"/>
    </row>
    <row r="698">
      <c r="G698" s="6"/>
      <c r="M698" s="4"/>
    </row>
    <row r="699">
      <c r="G699" s="6"/>
      <c r="M699" s="4"/>
    </row>
    <row r="700">
      <c r="G700" s="6"/>
      <c r="M700" s="4"/>
    </row>
    <row r="701">
      <c r="G701" s="6"/>
      <c r="M701" s="4"/>
    </row>
    <row r="702">
      <c r="G702" s="6"/>
      <c r="M702" s="4"/>
    </row>
    <row r="703">
      <c r="G703" s="6"/>
      <c r="M703" s="4"/>
    </row>
    <row r="704">
      <c r="G704" s="6"/>
      <c r="M704" s="4"/>
    </row>
    <row r="705">
      <c r="G705" s="6"/>
      <c r="M705" s="4"/>
    </row>
    <row r="706">
      <c r="G706" s="6"/>
      <c r="M706" s="4"/>
    </row>
    <row r="707">
      <c r="G707" s="6"/>
      <c r="M707" s="4"/>
    </row>
    <row r="708">
      <c r="G708" s="6"/>
      <c r="M708" s="4"/>
    </row>
    <row r="709">
      <c r="G709" s="6"/>
      <c r="M709" s="4"/>
    </row>
    <row r="710">
      <c r="G710" s="6"/>
      <c r="M710" s="4"/>
    </row>
    <row r="711">
      <c r="G711" s="6"/>
      <c r="M711" s="4"/>
    </row>
    <row r="712">
      <c r="G712" s="6"/>
      <c r="M712" s="4"/>
    </row>
    <row r="713">
      <c r="G713" s="6"/>
      <c r="M713" s="4"/>
    </row>
    <row r="714">
      <c r="G714" s="6"/>
      <c r="M714" s="4"/>
    </row>
    <row r="715">
      <c r="G715" s="6"/>
      <c r="M715" s="4"/>
    </row>
    <row r="716">
      <c r="G716" s="6"/>
      <c r="M716" s="4"/>
    </row>
    <row r="717">
      <c r="G717" s="6"/>
      <c r="M717" s="4"/>
    </row>
    <row r="718">
      <c r="G718" s="6"/>
      <c r="M718" s="4"/>
    </row>
    <row r="719">
      <c r="G719" s="6"/>
      <c r="M719" s="4"/>
    </row>
    <row r="720">
      <c r="G720" s="6"/>
      <c r="M720" s="4"/>
    </row>
    <row r="721">
      <c r="G721" s="6"/>
      <c r="M721" s="4"/>
    </row>
    <row r="722">
      <c r="G722" s="6"/>
      <c r="M722" s="4"/>
    </row>
    <row r="723">
      <c r="G723" s="6"/>
      <c r="M723" s="4"/>
    </row>
    <row r="724">
      <c r="G724" s="6"/>
      <c r="M724" s="4"/>
    </row>
    <row r="725">
      <c r="G725" s="6"/>
      <c r="M725" s="4"/>
    </row>
    <row r="726">
      <c r="G726" s="6"/>
      <c r="M726" s="4"/>
    </row>
    <row r="727">
      <c r="G727" s="6"/>
      <c r="M727" s="4"/>
    </row>
    <row r="728">
      <c r="G728" s="6"/>
      <c r="M728" s="4"/>
    </row>
    <row r="729">
      <c r="G729" s="6"/>
      <c r="M729" s="4"/>
    </row>
    <row r="730">
      <c r="G730" s="6"/>
      <c r="M730" s="4"/>
    </row>
    <row r="731">
      <c r="G731" s="6"/>
      <c r="M731" s="4"/>
    </row>
    <row r="732">
      <c r="G732" s="6"/>
      <c r="M732" s="4"/>
    </row>
    <row r="733">
      <c r="G733" s="6"/>
      <c r="M733" s="4"/>
    </row>
    <row r="734">
      <c r="G734" s="6"/>
      <c r="M734" s="4"/>
    </row>
    <row r="735">
      <c r="G735" s="6"/>
      <c r="M735" s="4"/>
    </row>
    <row r="736">
      <c r="G736" s="6"/>
      <c r="M736" s="4"/>
    </row>
    <row r="737">
      <c r="G737" s="6"/>
      <c r="M737" s="4"/>
    </row>
    <row r="738">
      <c r="G738" s="6"/>
      <c r="M738" s="4"/>
    </row>
    <row r="739">
      <c r="G739" s="6"/>
      <c r="M739" s="4"/>
    </row>
    <row r="740">
      <c r="G740" s="6"/>
      <c r="M740" s="4"/>
    </row>
    <row r="741">
      <c r="G741" s="6"/>
      <c r="M741" s="4"/>
    </row>
    <row r="742">
      <c r="G742" s="6"/>
      <c r="M742" s="4"/>
    </row>
    <row r="743">
      <c r="G743" s="6"/>
      <c r="M743" s="4"/>
    </row>
    <row r="744">
      <c r="G744" s="6"/>
      <c r="M744" s="4"/>
    </row>
    <row r="745">
      <c r="G745" s="6"/>
      <c r="M745" s="4"/>
    </row>
    <row r="746">
      <c r="G746" s="6"/>
      <c r="M746" s="4"/>
    </row>
    <row r="747">
      <c r="G747" s="6"/>
      <c r="M747" s="4"/>
    </row>
    <row r="748">
      <c r="G748" s="6"/>
      <c r="M748" s="4"/>
    </row>
    <row r="749">
      <c r="G749" s="6"/>
      <c r="M749" s="4"/>
    </row>
    <row r="750">
      <c r="G750" s="6"/>
      <c r="M750" s="4"/>
    </row>
    <row r="751">
      <c r="G751" s="6"/>
      <c r="M751" s="4"/>
    </row>
    <row r="752">
      <c r="G752" s="6"/>
      <c r="M752" s="4"/>
    </row>
    <row r="753">
      <c r="G753" s="6"/>
      <c r="M753" s="4"/>
    </row>
    <row r="754">
      <c r="G754" s="6"/>
      <c r="M754" s="4"/>
    </row>
    <row r="755">
      <c r="G755" s="6"/>
      <c r="M755" s="4"/>
    </row>
    <row r="756">
      <c r="G756" s="6"/>
      <c r="M756" s="4"/>
    </row>
    <row r="757">
      <c r="G757" s="6"/>
      <c r="M757" s="4"/>
    </row>
    <row r="758">
      <c r="G758" s="6"/>
      <c r="M758" s="4"/>
    </row>
    <row r="759">
      <c r="G759" s="6"/>
      <c r="M759" s="4"/>
    </row>
    <row r="760">
      <c r="G760" s="6"/>
      <c r="M760" s="4"/>
    </row>
    <row r="761">
      <c r="G761" s="6"/>
      <c r="M761" s="4"/>
    </row>
    <row r="762">
      <c r="G762" s="6"/>
      <c r="M762" s="4"/>
    </row>
    <row r="763">
      <c r="G763" s="6"/>
      <c r="M763" s="4"/>
    </row>
    <row r="764">
      <c r="G764" s="6"/>
      <c r="M764" s="4"/>
    </row>
    <row r="765">
      <c r="G765" s="6"/>
      <c r="M765" s="4"/>
    </row>
    <row r="766">
      <c r="G766" s="6"/>
      <c r="M766" s="4"/>
    </row>
    <row r="767">
      <c r="G767" s="6"/>
      <c r="M767" s="4"/>
    </row>
    <row r="768">
      <c r="G768" s="6"/>
      <c r="M768" s="4"/>
    </row>
    <row r="769">
      <c r="G769" s="6"/>
      <c r="M769" s="4"/>
    </row>
    <row r="770">
      <c r="G770" s="6"/>
      <c r="M770" s="4"/>
    </row>
    <row r="771">
      <c r="G771" s="6"/>
      <c r="M771" s="4"/>
    </row>
    <row r="772">
      <c r="G772" s="6"/>
      <c r="M772" s="4"/>
    </row>
    <row r="773">
      <c r="G773" s="6"/>
      <c r="M773" s="4"/>
    </row>
    <row r="774">
      <c r="G774" s="6"/>
      <c r="M774" s="4"/>
    </row>
    <row r="775">
      <c r="G775" s="6"/>
      <c r="M775" s="4"/>
    </row>
    <row r="776">
      <c r="G776" s="6"/>
      <c r="M776" s="4"/>
    </row>
    <row r="777">
      <c r="G777" s="6"/>
      <c r="M777" s="4"/>
    </row>
    <row r="778">
      <c r="G778" s="6"/>
      <c r="M778" s="4"/>
    </row>
    <row r="779">
      <c r="G779" s="6"/>
      <c r="M779" s="4"/>
    </row>
    <row r="780">
      <c r="G780" s="6"/>
      <c r="M780" s="4"/>
    </row>
    <row r="781">
      <c r="G781" s="6"/>
      <c r="M781" s="4"/>
    </row>
    <row r="782">
      <c r="G782" s="6"/>
      <c r="M782" s="4"/>
    </row>
    <row r="783">
      <c r="G783" s="6"/>
      <c r="M783" s="4"/>
    </row>
    <row r="784">
      <c r="G784" s="6"/>
      <c r="M784" s="4"/>
    </row>
    <row r="785">
      <c r="G785" s="6"/>
      <c r="M785" s="4"/>
    </row>
    <row r="786">
      <c r="G786" s="6"/>
      <c r="M786" s="4"/>
    </row>
    <row r="787">
      <c r="G787" s="6"/>
      <c r="M787" s="4"/>
    </row>
    <row r="788">
      <c r="G788" s="6"/>
      <c r="M788" s="4"/>
    </row>
    <row r="789">
      <c r="G789" s="6"/>
      <c r="M789" s="4"/>
    </row>
    <row r="790">
      <c r="G790" s="6"/>
      <c r="M790" s="4"/>
    </row>
    <row r="791">
      <c r="G791" s="6"/>
      <c r="M791" s="4"/>
    </row>
    <row r="792">
      <c r="G792" s="6"/>
      <c r="M792" s="4"/>
    </row>
    <row r="793">
      <c r="G793" s="6"/>
      <c r="M793" s="4"/>
    </row>
    <row r="794">
      <c r="G794" s="6"/>
      <c r="M794" s="4"/>
    </row>
    <row r="795">
      <c r="G795" s="6"/>
      <c r="M795" s="4"/>
    </row>
    <row r="796">
      <c r="G796" s="6"/>
      <c r="M796" s="4"/>
    </row>
    <row r="797">
      <c r="G797" s="6"/>
      <c r="M797" s="4"/>
    </row>
    <row r="798">
      <c r="G798" s="6"/>
      <c r="M798" s="4"/>
    </row>
    <row r="799">
      <c r="G799" s="6"/>
      <c r="M799" s="4"/>
    </row>
    <row r="800">
      <c r="G800" s="6"/>
      <c r="M800" s="4"/>
    </row>
    <row r="801">
      <c r="G801" s="6"/>
      <c r="M801" s="4"/>
    </row>
    <row r="802">
      <c r="G802" s="6"/>
      <c r="M802" s="4"/>
    </row>
    <row r="803">
      <c r="G803" s="6"/>
      <c r="M803" s="4"/>
    </row>
    <row r="804">
      <c r="G804" s="6"/>
      <c r="M804" s="4"/>
    </row>
    <row r="805">
      <c r="G805" s="6"/>
      <c r="M805" s="4"/>
    </row>
    <row r="806">
      <c r="G806" s="6"/>
      <c r="M806" s="4"/>
    </row>
    <row r="807">
      <c r="G807" s="6"/>
      <c r="M807" s="4"/>
    </row>
    <row r="808">
      <c r="G808" s="6"/>
      <c r="M808" s="4"/>
    </row>
    <row r="809">
      <c r="G809" s="6"/>
      <c r="M809" s="4"/>
    </row>
    <row r="810">
      <c r="G810" s="6"/>
      <c r="M810" s="4"/>
    </row>
    <row r="811">
      <c r="G811" s="6"/>
      <c r="M811" s="4"/>
    </row>
    <row r="812">
      <c r="G812" s="6"/>
      <c r="M812" s="4"/>
    </row>
    <row r="813">
      <c r="G813" s="6"/>
      <c r="M813" s="4"/>
    </row>
    <row r="814">
      <c r="G814" s="6"/>
      <c r="M814" s="4"/>
    </row>
    <row r="815">
      <c r="G815" s="6"/>
      <c r="M815" s="4"/>
    </row>
    <row r="816">
      <c r="G816" s="6"/>
      <c r="M816" s="4"/>
    </row>
    <row r="817">
      <c r="G817" s="6"/>
      <c r="M817" s="4"/>
    </row>
    <row r="818">
      <c r="G818" s="6"/>
      <c r="M818" s="4"/>
    </row>
    <row r="819">
      <c r="G819" s="6"/>
      <c r="M819" s="4"/>
    </row>
    <row r="820">
      <c r="G820" s="6"/>
      <c r="M820" s="4"/>
    </row>
    <row r="821">
      <c r="G821" s="6"/>
      <c r="M821" s="4"/>
    </row>
    <row r="822">
      <c r="G822" s="6"/>
      <c r="M822" s="4"/>
    </row>
    <row r="823">
      <c r="G823" s="6"/>
      <c r="M823" s="4"/>
    </row>
    <row r="824">
      <c r="G824" s="6"/>
      <c r="M824" s="4"/>
    </row>
    <row r="825">
      <c r="G825" s="6"/>
      <c r="M825" s="4"/>
    </row>
    <row r="826">
      <c r="G826" s="6"/>
      <c r="M826" s="4"/>
    </row>
    <row r="827">
      <c r="G827" s="6"/>
      <c r="M827" s="4"/>
    </row>
    <row r="828">
      <c r="G828" s="6"/>
      <c r="M828" s="4"/>
    </row>
    <row r="829">
      <c r="G829" s="6"/>
      <c r="M829" s="4"/>
    </row>
    <row r="830">
      <c r="G830" s="6"/>
      <c r="M830" s="4"/>
    </row>
    <row r="831">
      <c r="G831" s="6"/>
      <c r="M831" s="4"/>
    </row>
    <row r="832">
      <c r="G832" s="6"/>
      <c r="M832" s="4"/>
    </row>
    <row r="833">
      <c r="G833" s="6"/>
      <c r="M833" s="4"/>
    </row>
    <row r="834">
      <c r="G834" s="6"/>
      <c r="M834" s="4"/>
    </row>
    <row r="835">
      <c r="G835" s="6"/>
      <c r="M835" s="4"/>
    </row>
    <row r="836">
      <c r="G836" s="6"/>
      <c r="M836" s="4"/>
    </row>
    <row r="837">
      <c r="G837" s="6"/>
      <c r="M837" s="4"/>
    </row>
    <row r="838">
      <c r="G838" s="6"/>
      <c r="M838" s="4"/>
    </row>
    <row r="839">
      <c r="G839" s="6"/>
      <c r="M839" s="4"/>
    </row>
    <row r="840">
      <c r="G840" s="6"/>
      <c r="M840" s="4"/>
    </row>
    <row r="841">
      <c r="G841" s="6"/>
      <c r="M841" s="4"/>
    </row>
    <row r="842">
      <c r="G842" s="6"/>
      <c r="M842" s="4"/>
    </row>
    <row r="843">
      <c r="G843" s="6"/>
      <c r="M843" s="4"/>
    </row>
    <row r="844">
      <c r="G844" s="6"/>
      <c r="M844" s="4"/>
    </row>
    <row r="845">
      <c r="G845" s="6"/>
      <c r="M845" s="4"/>
    </row>
    <row r="846">
      <c r="G846" s="6"/>
      <c r="M846" s="4"/>
    </row>
    <row r="847">
      <c r="G847" s="6"/>
      <c r="M847" s="4"/>
    </row>
    <row r="848">
      <c r="G848" s="6"/>
      <c r="M848" s="4"/>
    </row>
    <row r="849">
      <c r="G849" s="6"/>
      <c r="M849" s="4"/>
    </row>
    <row r="850">
      <c r="G850" s="6"/>
      <c r="M850" s="4"/>
    </row>
    <row r="851">
      <c r="G851" s="6"/>
      <c r="M851" s="4"/>
    </row>
    <row r="852">
      <c r="G852" s="6"/>
      <c r="M852" s="4"/>
    </row>
    <row r="853">
      <c r="G853" s="6"/>
      <c r="M853" s="4"/>
    </row>
    <row r="854">
      <c r="G854" s="6"/>
      <c r="M854" s="4"/>
    </row>
    <row r="855">
      <c r="G855" s="6"/>
      <c r="M855" s="4"/>
    </row>
    <row r="856">
      <c r="G856" s="6"/>
      <c r="M856" s="4"/>
    </row>
    <row r="857">
      <c r="G857" s="6"/>
      <c r="M857" s="4"/>
    </row>
    <row r="858">
      <c r="G858" s="6"/>
      <c r="M858" s="4"/>
    </row>
    <row r="859">
      <c r="G859" s="6"/>
      <c r="M859" s="4"/>
    </row>
    <row r="860">
      <c r="G860" s="6"/>
      <c r="M860" s="4"/>
    </row>
    <row r="861">
      <c r="G861" s="6"/>
      <c r="M861" s="4"/>
    </row>
    <row r="862">
      <c r="G862" s="6"/>
      <c r="M862" s="4"/>
    </row>
    <row r="863">
      <c r="G863" s="6"/>
      <c r="M863" s="4"/>
    </row>
    <row r="864">
      <c r="G864" s="6"/>
      <c r="M864" s="4"/>
    </row>
    <row r="865">
      <c r="G865" s="6"/>
      <c r="M865" s="4"/>
    </row>
    <row r="866">
      <c r="G866" s="6"/>
      <c r="M866" s="4"/>
    </row>
    <row r="867">
      <c r="G867" s="6"/>
      <c r="M867" s="4"/>
    </row>
    <row r="868">
      <c r="G868" s="6"/>
      <c r="M868" s="4"/>
    </row>
    <row r="869">
      <c r="G869" s="6"/>
      <c r="M869" s="4"/>
    </row>
    <row r="870">
      <c r="G870" s="6"/>
      <c r="M870" s="4"/>
    </row>
    <row r="871">
      <c r="G871" s="6"/>
      <c r="M871" s="4"/>
    </row>
    <row r="872">
      <c r="G872" s="6"/>
      <c r="M872" s="4"/>
    </row>
    <row r="873">
      <c r="G873" s="6"/>
      <c r="M873" s="4"/>
    </row>
    <row r="874">
      <c r="G874" s="6"/>
      <c r="M874" s="4"/>
    </row>
    <row r="875">
      <c r="G875" s="6"/>
      <c r="M875" s="4"/>
    </row>
    <row r="876">
      <c r="G876" s="6"/>
      <c r="M876" s="4"/>
    </row>
    <row r="877">
      <c r="G877" s="6"/>
      <c r="M877" s="4"/>
    </row>
    <row r="878">
      <c r="G878" s="6"/>
      <c r="M878" s="4"/>
    </row>
    <row r="879">
      <c r="G879" s="6"/>
      <c r="M879" s="4"/>
    </row>
    <row r="880">
      <c r="G880" s="6"/>
      <c r="M880" s="4"/>
    </row>
    <row r="881">
      <c r="G881" s="6"/>
      <c r="M881" s="4"/>
    </row>
    <row r="882">
      <c r="G882" s="6"/>
      <c r="M882" s="4"/>
    </row>
    <row r="883">
      <c r="G883" s="6"/>
      <c r="M883" s="4"/>
    </row>
    <row r="884">
      <c r="G884" s="6"/>
      <c r="M884" s="4"/>
    </row>
    <row r="885">
      <c r="G885" s="6"/>
      <c r="M885" s="4"/>
    </row>
    <row r="886">
      <c r="G886" s="6"/>
      <c r="M886" s="4"/>
    </row>
    <row r="887">
      <c r="G887" s="6"/>
      <c r="M887" s="4"/>
    </row>
    <row r="888">
      <c r="G888" s="6"/>
      <c r="M888" s="4"/>
    </row>
    <row r="889">
      <c r="G889" s="6"/>
      <c r="M889" s="4"/>
    </row>
    <row r="890">
      <c r="G890" s="6"/>
      <c r="M890" s="4"/>
    </row>
    <row r="891">
      <c r="G891" s="6"/>
      <c r="M891" s="4"/>
    </row>
    <row r="892">
      <c r="G892" s="6"/>
      <c r="M892" s="4"/>
    </row>
    <row r="893">
      <c r="G893" s="6"/>
      <c r="M893" s="4"/>
    </row>
    <row r="894">
      <c r="G894" s="6"/>
      <c r="M894" s="4"/>
    </row>
    <row r="895">
      <c r="G895" s="6"/>
      <c r="M895" s="4"/>
    </row>
    <row r="896">
      <c r="G896" s="6"/>
      <c r="M896" s="4"/>
    </row>
    <row r="897">
      <c r="G897" s="6"/>
      <c r="M897" s="4"/>
    </row>
    <row r="898">
      <c r="G898" s="6"/>
      <c r="M898" s="4"/>
    </row>
    <row r="899">
      <c r="G899" s="6"/>
      <c r="M899" s="4"/>
    </row>
    <row r="900">
      <c r="G900" s="6"/>
      <c r="M900" s="4"/>
    </row>
    <row r="901">
      <c r="G901" s="6"/>
      <c r="M901" s="4"/>
    </row>
    <row r="902">
      <c r="G902" s="6"/>
      <c r="M902" s="4"/>
    </row>
    <row r="903">
      <c r="G903" s="6"/>
      <c r="M903" s="4"/>
    </row>
    <row r="904">
      <c r="G904" s="6"/>
      <c r="M904" s="4"/>
    </row>
    <row r="905">
      <c r="G905" s="6"/>
      <c r="M905" s="4"/>
    </row>
    <row r="906">
      <c r="G906" s="6"/>
      <c r="M906" s="4"/>
    </row>
    <row r="907">
      <c r="G907" s="6"/>
      <c r="M907" s="4"/>
    </row>
    <row r="908">
      <c r="G908" s="6"/>
      <c r="M908" s="4"/>
    </row>
    <row r="909">
      <c r="G909" s="6"/>
      <c r="M909" s="4"/>
    </row>
    <row r="910">
      <c r="G910" s="6"/>
      <c r="M910" s="4"/>
    </row>
    <row r="911">
      <c r="G911" s="6"/>
      <c r="M911" s="4"/>
    </row>
    <row r="912">
      <c r="G912" s="6"/>
      <c r="M912" s="4"/>
    </row>
    <row r="913">
      <c r="G913" s="6"/>
      <c r="M913" s="4"/>
    </row>
    <row r="914">
      <c r="G914" s="6"/>
      <c r="M914" s="4"/>
    </row>
    <row r="915">
      <c r="G915" s="6"/>
      <c r="M915" s="4"/>
    </row>
    <row r="916">
      <c r="G916" s="6"/>
      <c r="M916" s="4"/>
    </row>
    <row r="917">
      <c r="G917" s="6"/>
      <c r="M917" s="4"/>
    </row>
    <row r="918">
      <c r="G918" s="6"/>
      <c r="M918" s="4"/>
    </row>
    <row r="919">
      <c r="G919" s="6"/>
      <c r="M919" s="4"/>
    </row>
    <row r="920">
      <c r="G920" s="6"/>
      <c r="M920" s="4"/>
    </row>
    <row r="921">
      <c r="G921" s="6"/>
      <c r="M921" s="4"/>
    </row>
    <row r="922">
      <c r="G922" s="6"/>
      <c r="M922" s="4"/>
    </row>
    <row r="923">
      <c r="G923" s="6"/>
      <c r="M923" s="4"/>
    </row>
    <row r="924">
      <c r="G924" s="6"/>
      <c r="M924" s="4"/>
    </row>
    <row r="925">
      <c r="G925" s="6"/>
      <c r="M925" s="4"/>
    </row>
    <row r="926">
      <c r="G926" s="6"/>
      <c r="M926" s="4"/>
    </row>
    <row r="927">
      <c r="G927" s="6"/>
      <c r="M927" s="4"/>
    </row>
    <row r="928">
      <c r="G928" s="6"/>
      <c r="M928" s="4"/>
    </row>
    <row r="929">
      <c r="G929" s="6"/>
      <c r="M929" s="4"/>
    </row>
    <row r="930">
      <c r="G930" s="6"/>
      <c r="M930" s="4"/>
    </row>
    <row r="931">
      <c r="G931" s="6"/>
      <c r="M931" s="4"/>
    </row>
    <row r="932">
      <c r="G932" s="6"/>
      <c r="M932" s="4"/>
    </row>
    <row r="933">
      <c r="G933" s="6"/>
      <c r="M933" s="4"/>
    </row>
    <row r="934">
      <c r="G934" s="6"/>
      <c r="M934" s="4"/>
    </row>
    <row r="935">
      <c r="G935" s="6"/>
      <c r="M935" s="4"/>
    </row>
    <row r="936">
      <c r="G936" s="6"/>
      <c r="M936" s="4"/>
    </row>
    <row r="937">
      <c r="G937" s="6"/>
      <c r="M937" s="4"/>
    </row>
    <row r="938">
      <c r="G938" s="6"/>
      <c r="M938" s="4"/>
    </row>
    <row r="939">
      <c r="G939" s="6"/>
      <c r="M939" s="4"/>
    </row>
    <row r="940">
      <c r="G940" s="6"/>
      <c r="M940" s="4"/>
    </row>
    <row r="941">
      <c r="G941" s="6"/>
      <c r="M941" s="4"/>
    </row>
    <row r="942">
      <c r="G942" s="6"/>
      <c r="M942" s="4"/>
    </row>
    <row r="943">
      <c r="G943" s="6"/>
      <c r="M943" s="4"/>
    </row>
    <row r="944">
      <c r="G944" s="6"/>
      <c r="M944" s="4"/>
    </row>
    <row r="945">
      <c r="G945" s="6"/>
      <c r="M945" s="4"/>
    </row>
    <row r="946">
      <c r="G946" s="6"/>
      <c r="M946" s="4"/>
    </row>
    <row r="947">
      <c r="G947" s="6"/>
      <c r="M947" s="4"/>
    </row>
    <row r="948">
      <c r="G948" s="6"/>
      <c r="M948" s="4"/>
    </row>
    <row r="949">
      <c r="G949" s="6"/>
      <c r="M949" s="4"/>
    </row>
    <row r="950">
      <c r="G950" s="6"/>
      <c r="M950" s="4"/>
    </row>
    <row r="951">
      <c r="G951" s="6"/>
      <c r="M951" s="4"/>
    </row>
    <row r="952">
      <c r="G952" s="6"/>
      <c r="M952" s="4"/>
    </row>
    <row r="953">
      <c r="G953" s="6"/>
      <c r="M953" s="4"/>
    </row>
    <row r="954">
      <c r="G954" s="6"/>
      <c r="M954" s="4"/>
    </row>
    <row r="955">
      <c r="G955" s="6"/>
      <c r="M955" s="4"/>
    </row>
    <row r="956">
      <c r="G956" s="6"/>
      <c r="M956" s="4"/>
    </row>
    <row r="957">
      <c r="G957" s="6"/>
      <c r="M957" s="4"/>
    </row>
    <row r="958">
      <c r="G958" s="6"/>
      <c r="M958" s="4"/>
    </row>
    <row r="959">
      <c r="G959" s="6"/>
      <c r="M959" s="4"/>
    </row>
    <row r="960">
      <c r="G960" s="6"/>
      <c r="M960" s="4"/>
    </row>
    <row r="961">
      <c r="G961" s="6"/>
      <c r="M961" s="4"/>
    </row>
    <row r="962">
      <c r="G962" s="6"/>
      <c r="M962" s="4"/>
    </row>
    <row r="963">
      <c r="G963" s="6"/>
      <c r="M963" s="4"/>
    </row>
    <row r="964">
      <c r="G964" s="6"/>
      <c r="M964" s="4"/>
    </row>
    <row r="965">
      <c r="G965" s="6"/>
      <c r="M965" s="4"/>
    </row>
    <row r="966">
      <c r="G966" s="6"/>
      <c r="M966" s="4"/>
    </row>
    <row r="967">
      <c r="G967" s="6"/>
      <c r="M967" s="4"/>
    </row>
    <row r="968">
      <c r="G968" s="6"/>
      <c r="M968" s="4"/>
    </row>
    <row r="969">
      <c r="G969" s="6"/>
      <c r="M969" s="4"/>
    </row>
    <row r="970">
      <c r="G970" s="6"/>
      <c r="M970" s="4"/>
    </row>
    <row r="971">
      <c r="G971" s="6"/>
      <c r="M971" s="4"/>
    </row>
    <row r="972">
      <c r="G972" s="6"/>
      <c r="M972" s="4"/>
    </row>
    <row r="973">
      <c r="G973" s="6"/>
      <c r="M973" s="4"/>
    </row>
    <row r="974">
      <c r="G974" s="6"/>
      <c r="M974" s="4"/>
    </row>
    <row r="975">
      <c r="G975" s="6"/>
      <c r="M975" s="4"/>
    </row>
    <row r="976">
      <c r="G976" s="6"/>
      <c r="M976" s="4"/>
    </row>
    <row r="977">
      <c r="G977" s="6"/>
      <c r="M977" s="4"/>
    </row>
    <row r="978">
      <c r="G978" s="6"/>
      <c r="M978" s="4"/>
    </row>
    <row r="979">
      <c r="G979" s="6"/>
      <c r="M979" s="4"/>
    </row>
    <row r="980">
      <c r="G980" s="6"/>
      <c r="M980" s="4"/>
    </row>
    <row r="981">
      <c r="G981" s="6"/>
      <c r="M981" s="4"/>
    </row>
    <row r="982">
      <c r="G982" s="6"/>
      <c r="M982" s="4"/>
    </row>
    <row r="983">
      <c r="G983" s="6"/>
      <c r="M983" s="4"/>
    </row>
    <row r="984">
      <c r="G984" s="6"/>
      <c r="M984" s="4"/>
    </row>
    <row r="985">
      <c r="G985" s="6"/>
      <c r="M985" s="4"/>
    </row>
    <row r="986">
      <c r="G986" s="6"/>
      <c r="M986" s="4"/>
    </row>
    <row r="987">
      <c r="G987" s="6"/>
      <c r="M987" s="4"/>
    </row>
    <row r="988">
      <c r="G988" s="6"/>
      <c r="M988" s="4"/>
    </row>
    <row r="989">
      <c r="G989" s="6"/>
      <c r="M989" s="4"/>
    </row>
    <row r="990">
      <c r="G990" s="6"/>
      <c r="M990" s="4"/>
    </row>
    <row r="991">
      <c r="G991" s="6"/>
      <c r="M991" s="4"/>
    </row>
    <row r="992">
      <c r="G992" s="6"/>
      <c r="M992" s="4"/>
    </row>
    <row r="993">
      <c r="G993" s="6"/>
      <c r="M993" s="4"/>
    </row>
    <row r="994">
      <c r="G994" s="6"/>
      <c r="M994" s="4"/>
    </row>
    <row r="995">
      <c r="G995" s="6"/>
      <c r="M995" s="4"/>
    </row>
    <row r="996">
      <c r="G996" s="6"/>
      <c r="M996" s="4"/>
    </row>
    <row r="997">
      <c r="G997" s="6"/>
      <c r="M997" s="4"/>
    </row>
    <row r="998">
      <c r="G998" s="6"/>
      <c r="M998" s="4"/>
    </row>
    <row r="999">
      <c r="G999" s="6"/>
      <c r="M999" s="4"/>
    </row>
    <row r="1000">
      <c r="G1000" s="6"/>
      <c r="M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G12" s="1" t="s">
        <v>796</v>
      </c>
    </row>
    <row r="42">
      <c r="C42" s="1" t="s">
        <v>797</v>
      </c>
    </row>
  </sheetData>
  <drawing r:id="rId1"/>
</worksheet>
</file>